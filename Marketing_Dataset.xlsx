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Documents\Portfolio\Excel\Marketing\"/>
    </mc:Choice>
  </mc:AlternateContent>
  <xr:revisionPtr revIDLastSave="0" documentId="13_ncr:1_{86C3BF66-AAAA-4FBA-BBAC-E2285C07B338}" xr6:coauthVersionLast="47" xr6:coauthVersionMax="47" xr10:uidLastSave="{00000000-0000-0000-0000-000000000000}"/>
  <bookViews>
    <workbookView xWindow="-110" yWindow="-110" windowWidth="19420" windowHeight="10300" activeTab="2" xr2:uid="{074CCF71-030B-4DA9-B638-98740C076206}"/>
  </bookViews>
  <sheets>
    <sheet name="Main Data" sheetId="1" r:id="rId1"/>
    <sheet name="Working Data" sheetId="2" r:id="rId2"/>
    <sheet name="PivotTables and PivotCharts" sheetId="6" r:id="rId3"/>
    <sheet name="Dashboard" sheetId="8" r:id="rId4"/>
  </sheets>
  <definedNames>
    <definedName name="_xlnm._FilterDatabase" localSheetId="0" hidden="1">'Main Data'!$A$1:$K$309</definedName>
    <definedName name="NativeTimeline_Date">#N/A</definedName>
    <definedName name="Slicer_Campaign_Type">#N/A</definedName>
    <definedName name="Slicer_Conversion2__Grouped">#N/A</definedName>
    <definedName name="Slicer_Week">#N/A</definedName>
  </definedNames>
  <calcPr calcId="191029" iterateDelta="1E-4"/>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2" l="1"/>
  <c r="AE5" i="2" a="1"/>
  <c r="AE5" i="2" s="1"/>
  <c r="S18" i="2"/>
  <c r="S38" i="2"/>
  <c r="S61" i="2"/>
  <c r="S82" i="2"/>
  <c r="S102" i="2"/>
  <c r="S125" i="2"/>
  <c r="S146" i="2"/>
  <c r="S166" i="2"/>
  <c r="S189" i="2"/>
  <c r="S210" i="2"/>
  <c r="S230" i="2"/>
  <c r="S253" i="2"/>
  <c r="S274" i="2"/>
  <c r="S294"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R2" i="2"/>
  <c r="S2" i="2" s="1"/>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P2" i="2"/>
  <c r="Q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T2"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<sst xmlns="http://schemas.openxmlformats.org/spreadsheetml/2006/main" count="1443" uniqueCount="115">
  <si>
    <t>id</t>
  </si>
  <si>
    <t>c_date</t>
  </si>
  <si>
    <t>campaign_name</t>
  </si>
  <si>
    <t>category</t>
  </si>
  <si>
    <t>campaign_id</t>
  </si>
  <si>
    <t>impressions</t>
  </si>
  <si>
    <t>mark_spent</t>
  </si>
  <si>
    <t>clicks</t>
  </si>
  <si>
    <t>leads</t>
  </si>
  <si>
    <t>orders</t>
  </si>
  <si>
    <t>revenue</t>
  </si>
  <si>
    <t>facebook_tier1</t>
  </si>
  <si>
    <t>social</t>
  </si>
  <si>
    <t>facebOOK_tier2</t>
  </si>
  <si>
    <t>google_hot</t>
  </si>
  <si>
    <t>search</t>
  </si>
  <si>
    <t>google_wide</t>
  </si>
  <si>
    <t>youtube_blogger</t>
  </si>
  <si>
    <t>influencer</t>
  </si>
  <si>
    <t>instagram_tier1</t>
  </si>
  <si>
    <t>instagram_tier2</t>
  </si>
  <si>
    <t>facebook_retargeting</t>
  </si>
  <si>
    <t>facebook_lal</t>
  </si>
  <si>
    <t>instagram_blogger</t>
  </si>
  <si>
    <t>banner_partner</t>
  </si>
  <si>
    <t>media</t>
  </si>
  <si>
    <t>Date</t>
  </si>
  <si>
    <t>Campaign_Name</t>
  </si>
  <si>
    <t>Category</t>
  </si>
  <si>
    <t>Campaign_Id</t>
  </si>
  <si>
    <t>Impressions</t>
  </si>
  <si>
    <t>Clicks</t>
  </si>
  <si>
    <t>Leads</t>
  </si>
  <si>
    <t>Orders</t>
  </si>
  <si>
    <t>Revenue</t>
  </si>
  <si>
    <t>Market_Budget</t>
  </si>
  <si>
    <t>Facebook_Tier1</t>
  </si>
  <si>
    <t>Facebook_Tier2</t>
  </si>
  <si>
    <t>Google_Hot</t>
  </si>
  <si>
    <t>Google_Wide</t>
  </si>
  <si>
    <t>Youtube_Blogger</t>
  </si>
  <si>
    <t>Instagram_Tier1</t>
  </si>
  <si>
    <t>Instagram_Tier2</t>
  </si>
  <si>
    <t>Facebook_Retargeting</t>
  </si>
  <si>
    <t>Facebook_Lal</t>
  </si>
  <si>
    <t>Instagram_Blogger</t>
  </si>
  <si>
    <t>Banner_Partner</t>
  </si>
  <si>
    <t>Search</t>
  </si>
  <si>
    <t>Influencer</t>
  </si>
  <si>
    <t>Week</t>
  </si>
  <si>
    <t>Campaign_Type</t>
  </si>
  <si>
    <t>Day</t>
  </si>
  <si>
    <t>CTR</t>
  </si>
  <si>
    <t>Conversion1</t>
  </si>
  <si>
    <t>Conversion2</t>
  </si>
  <si>
    <t>AOV</t>
  </si>
  <si>
    <t>CPC</t>
  </si>
  <si>
    <t>CAC</t>
  </si>
  <si>
    <t>CPL</t>
  </si>
  <si>
    <t>ROMI</t>
  </si>
  <si>
    <t>Gross Profit/Loss</t>
  </si>
  <si>
    <t>Social</t>
  </si>
  <si>
    <t>Media</t>
  </si>
  <si>
    <t>Sum of Budget</t>
  </si>
  <si>
    <t>Sum of Average Order Value</t>
  </si>
  <si>
    <t>Sum of Cost Per Click</t>
  </si>
  <si>
    <t>Sum of Cost Per Lead</t>
  </si>
  <si>
    <t>Sum of Customer Acquisition Cost</t>
  </si>
  <si>
    <t>KPIs</t>
  </si>
  <si>
    <t>Row Labels</t>
  </si>
  <si>
    <t>Grand Total</t>
  </si>
  <si>
    <t>Sum of Return on MI</t>
  </si>
  <si>
    <t>ROMI by Campaign Name</t>
  </si>
  <si>
    <t>ROMI by Category</t>
  </si>
  <si>
    <t>Sum of Revenue</t>
  </si>
  <si>
    <t>Sum of Market_Budget</t>
  </si>
  <si>
    <t>ROMI by Location</t>
  </si>
  <si>
    <t>Not Applicable</t>
  </si>
  <si>
    <t>Tier1</t>
  </si>
  <si>
    <t>Tier2</t>
  </si>
  <si>
    <t>Marketing Budget by Date</t>
  </si>
  <si>
    <t>Sunday</t>
  </si>
  <si>
    <t>Monday</t>
  </si>
  <si>
    <t>Tuesday</t>
  </si>
  <si>
    <t>Wednesday</t>
  </si>
  <si>
    <t>Thursday</t>
  </si>
  <si>
    <t>Friday</t>
  </si>
  <si>
    <t>Saturday</t>
  </si>
  <si>
    <t>Revenue by Date</t>
  </si>
  <si>
    <t>Conversion1 (Grouped)</t>
  </si>
  <si>
    <t>Conversion2 (Grouped)</t>
  </si>
  <si>
    <t>Conversion Rates by Date</t>
  </si>
  <si>
    <t>Column Labels</t>
  </si>
  <si>
    <t>High</t>
  </si>
  <si>
    <t>Low</t>
  </si>
  <si>
    <t>Weekday</t>
  </si>
  <si>
    <t>Weekend</t>
  </si>
  <si>
    <t>Average of Revenue</t>
  </si>
  <si>
    <t>AOV by Date</t>
  </si>
  <si>
    <t>Active Buyers (Week)</t>
  </si>
  <si>
    <t>Active Buyers (Day)</t>
  </si>
  <si>
    <t>Revenue by Campaign_Name</t>
  </si>
  <si>
    <t>Sum of Orders</t>
  </si>
  <si>
    <t>CAC by Campaign _Name</t>
  </si>
  <si>
    <t>Location</t>
  </si>
  <si>
    <t>Revenue by Location</t>
  </si>
  <si>
    <t>Orders by Location</t>
  </si>
  <si>
    <t>CAC by Location</t>
  </si>
  <si>
    <t>Market_budget by Campaign_Name</t>
  </si>
  <si>
    <t>Revenue by Category</t>
  </si>
  <si>
    <t>CAC by Category</t>
  </si>
  <si>
    <t>Sum of Conversion Rate 2</t>
  </si>
  <si>
    <t>Orders by Campaign_Name</t>
  </si>
  <si>
    <t>Sum of Gross Profit and Loss</t>
  </si>
  <si>
    <t>Sum of Conversion Rate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</si>
</sst>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09]\ #,##0"/>
    <numFmt numFmtId="165" formatCode="[$₹-4009]\ #,##0.00"/>
    <numFmt numFmtId="166" formatCode="0.0%"/>
    <numFmt numFmtId="167" formatCode="_ [$₹-4009]\ * #,##0_ ;_ [$₹-4009]\ * \-#,##0_ ;_ [$₹-4009]\ * &quot;-&quot;??_ ;_ @_ "/>
    <numFmt numFmtId="168" formatCode="[$₹-4009]\ 0.00,,&quot;M&quot;"/>
    <numFmt numFmtId="169" formatCode="[$₹-4009]\ 0.00,&quot;K&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165" fontId="0" fillId="0" borderId="0" xfId="0" applyNumberFormat="1"/>
    <xf numFmtId="165" fontId="0" fillId="0" borderId="0" xfId="42" applyNumberFormat="1" applyFont="1"/>
    <xf numFmtId="164" fontId="0" fillId="0" borderId="0" xfId="42" applyNumberFormat="1" applyFont="1"/>
    <xf numFmtId="10" fontId="0" fillId="0" borderId="0" xfId="43" applyNumberFormat="1" applyFont="1"/>
    <xf numFmtId="3" fontId="0" fillId="0" borderId="0" xfId="42" applyNumberFormat="1" applyFont="1"/>
    <xf numFmtId="0" fontId="0" fillId="0" borderId="0" xfId="0" pivotButton="1"/>
    <xf numFmtId="3" fontId="0" fillId="0" borderId="0" xfId="0" applyNumberFormat="1"/>
    <xf numFmtId="0" fontId="16" fillId="0" borderId="0" xfId="0" applyFont="1"/>
    <xf numFmtId="0" fontId="16" fillId="0" borderId="0" xfId="0" applyFont="1" applyAlignment="1">
      <alignment horizontal="center"/>
    </xf>
    <xf numFmtId="0" fontId="0" fillId="0" borderId="0" xfId="0" applyAlignment="1">
      <alignment horizontal="left"/>
    </xf>
    <xf numFmtId="14" fontId="0" fillId="0" borderId="0" xfId="0" applyNumberFormat="1" applyAlignment="1">
      <alignment horizontal="left"/>
    </xf>
    <xf numFmtId="10" fontId="0" fillId="0" borderId="0" xfId="0" applyNumberFormat="1"/>
    <xf numFmtId="10" fontId="0" fillId="0" borderId="0" xfId="42" applyNumberFormat="1" applyFont="1"/>
    <xf numFmtId="166" fontId="0" fillId="0" borderId="0" xfId="42" applyNumberFormat="1" applyFont="1"/>
    <xf numFmtId="167" fontId="0" fillId="0" borderId="0" xfId="0" applyNumberFormat="1"/>
    <xf numFmtId="168" fontId="0" fillId="0" borderId="0" xfId="0" applyNumberFormat="1"/>
    <xf numFmtId="169" fontId="0" fillId="0" borderId="0" xfId="0" applyNumberFormat="1"/>
    <xf numFmtId="166" fontId="0" fillId="0" borderId="0" xfId="0" applyNumberFormat="1"/>
    <xf numFmtId="9" fontId="0" fillId="0" borderId="0" xfId="0" applyNumberFormat="1"/>
    <xf numFmtId="166"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68">
    <dxf>
      <numFmt numFmtId="168" formatCode="[$₹-4009]\ 0.00,,&quot;M&quot;"/>
    </dxf>
    <dxf>
      <numFmt numFmtId="168" formatCode="[$₹-4009]\ 0.00,,&quot;M&quot;"/>
    </dxf>
    <dxf>
      <numFmt numFmtId="168" formatCode="[$₹-4009]\ 0.00,,&quot;M&quot;"/>
    </dxf>
    <dxf>
      <numFmt numFmtId="14" formatCode="0.00%"/>
    </dxf>
    <dxf>
      <numFmt numFmtId="14" formatCode="0.00%"/>
    </dxf>
    <dxf>
      <numFmt numFmtId="14" formatCode="0.00%"/>
    </dxf>
    <dxf>
      <numFmt numFmtId="14" formatCode="0.00%"/>
    </dxf>
    <dxf>
      <numFmt numFmtId="14" formatCode="0.00%"/>
    </dxf>
    <dxf>
      <numFmt numFmtId="14" formatCode="0.00%"/>
    </dxf>
    <dxf>
      <numFmt numFmtId="173" formatCode="&quot;$&quot;#,##0.00"/>
    </dxf>
    <dxf>
      <numFmt numFmtId="168" formatCode="[$₹-4009]\ 0.00,,&quot;M&quot;"/>
    </dxf>
    <dxf>
      <numFmt numFmtId="173" formatCode="&quot;$&quot;#,##0.00"/>
    </dxf>
    <dxf>
      <numFmt numFmtId="14" formatCode="0.00%"/>
    </dxf>
    <dxf>
      <numFmt numFmtId="14" formatCode="0.00%"/>
    </dxf>
    <dxf>
      <numFmt numFmtId="14" formatCode="0.00%"/>
    </dxf>
    <dxf>
      <numFmt numFmtId="14" formatCode="0.00%"/>
    </dxf>
    <dxf>
      <numFmt numFmtId="167" formatCode="_ [$₹-4009]\ * #,##0_ ;_ [$₹-4009]\ * \-#,##0_ ;_ [$₹-4009]\ * &quot;-&quot;??_ ;_ @_ "/>
    </dxf>
    <dxf>
      <numFmt numFmtId="14" formatCode="0.00%"/>
    </dxf>
    <dxf>
      <numFmt numFmtId="3" formatCode="#,##0"/>
    </dxf>
    <dxf>
      <numFmt numFmtId="14" formatCode="0.00%"/>
    </dxf>
    <dxf>
      <numFmt numFmtId="3" formatCode="#,##0"/>
    </dxf>
    <dxf>
      <numFmt numFmtId="14" formatCode="0.00%"/>
    </dxf>
    <dxf>
      <numFmt numFmtId="164" formatCode="[$₹-4009]\ #,##0"/>
    </dxf>
    <dxf>
      <numFmt numFmtId="14" formatCode="0.00%"/>
    </dxf>
    <dxf>
      <numFmt numFmtId="167" formatCode="_ [$₹-4009]\ * #,##0_ ;_ [$₹-4009]\ * \-#,##0_ ;_ [$₹-4009]\ * &quot;-&quot;??_ ;_ @_ "/>
    </dxf>
    <dxf>
      <numFmt numFmtId="167" formatCode="_ [$₹-4009]\ * #,##0_ ;_ [$₹-4009]\ * \-#,##0_ ;_ [$₹-4009]\ * &quot;-&quot;??_ ;_ @_ "/>
    </dxf>
    <dxf>
      <numFmt numFmtId="164" formatCode="[$₹-4009]\ #,##0"/>
    </dxf>
    <dxf>
      <numFmt numFmtId="165" formatCode="[$₹-4009]\ #,##0.00"/>
    </dxf>
    <dxf>
      <numFmt numFmtId="167" formatCode="_ [$₹-4009]\ * #,##0_ ;_ [$₹-4009]\ * \-#,##0_ ;_ [$₹-4009]\ * &quot;-&quot;??_ ;_ @_ "/>
    </dxf>
    <dxf>
      <numFmt numFmtId="169" formatCode="[$₹-4009]\ 0.00,&quot;K&quot;"/>
    </dxf>
    <dxf>
      <numFmt numFmtId="169" formatCode="[$₹-4009]\ 0.00,&quot;K&quot;"/>
    </dxf>
    <dxf>
      <numFmt numFmtId="169" formatCode="[$₹-4009]\ 0.00,&quot;K&quot;"/>
    </dxf>
    <dxf>
      <numFmt numFmtId="169" formatCode="[$₹-4009]\ 0.00,&quot;K&quot;"/>
    </dxf>
    <dxf>
      <numFmt numFmtId="168" formatCode="[$₹-4009]\ 0.00,,&quot;M&quot;"/>
    </dxf>
    <dxf>
      <numFmt numFmtId="167" formatCode="_ [$₹-4009]\ * #,##0_ ;_ [$₹-4009]\ * \-#,##0_ ;_ [$₹-4009]\ * &quot;-&quot;??_ ;_ @_ "/>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4009]\ #,##0"/>
    </dxf>
    <dxf>
      <numFmt numFmtId="165" formatCode="[$₹-4009]\ #,##0.00"/>
    </dxf>
    <dxf>
      <numFmt numFmtId="164" formatCode="[$₹-4009]\ #,##0"/>
    </dxf>
    <dxf>
      <numFmt numFmtId="14" formatCode="0.00%"/>
    </dxf>
    <dxf>
      <numFmt numFmtId="165" formatCode="[$₹-4009]\ #,##0.00"/>
    </dxf>
    <dxf>
      <numFmt numFmtId="165" formatCode="[$₹-4009]\ #,##0.00"/>
    </dxf>
    <dxf>
      <numFmt numFmtId="165" formatCode="[$₹-4009]\ #,##0.00"/>
    </dxf>
    <dxf>
      <numFmt numFmtId="165" formatCode="[$₹-4009]\ #,##0.00"/>
    </dxf>
    <dxf>
      <font>
        <b val="0"/>
        <i val="0"/>
        <strike val="0"/>
        <condense val="0"/>
        <extend val="0"/>
        <outline val="0"/>
        <shadow val="0"/>
        <u val="none"/>
        <vertAlign val="baseline"/>
        <sz val="11"/>
        <color theme="1"/>
        <name val="Aptos Narrow"/>
        <family val="2"/>
        <scheme val="minor"/>
      </font>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4" formatCode="0.00%"/>
    </dxf>
    <dxf>
      <numFmt numFmtId="14" formatCode="0.00%"/>
    </dxf>
    <dxf>
      <numFmt numFmtId="14" formatCode="0.00%"/>
    </dxf>
    <dxf>
      <numFmt numFmtId="164" formatCode="[$₹-4009]\ #,##0"/>
    </dxf>
    <dxf>
      <numFmt numFmtId="3" formatCode="#,##0"/>
    </dxf>
    <dxf>
      <numFmt numFmtId="3" formatCode="#,##0"/>
    </dxf>
    <dxf>
      <numFmt numFmtId="3" formatCode="#,##0"/>
    </dxf>
    <dxf>
      <numFmt numFmtId="3" formatCode="#,##0"/>
    </dxf>
    <dxf>
      <numFmt numFmtId="165" formatCode="[$₹-4009]\ #,##0.00"/>
    </dxf>
    <dxf>
      <numFmt numFmtId="0" formatCode="General"/>
    </dxf>
    <dxf>
      <numFmt numFmtId="0" formatCode="General"/>
    </dxf>
    <dxf>
      <numFmt numFmtId="19" formatCode="m/d/yyyy"/>
    </dxf>
    <dxf>
      <numFmt numFmtId="19" formatCode="m/d/yyyy"/>
    </dxf>
    <dxf>
      <numFmt numFmtId="19" formatCode="m/d/yyyy"/>
    </dxf>
    <dxf>
      <numFmt numFmtId="19" formatCode="m/d/yyyy"/>
    </dxf>
    <dxf>
      <font>
        <b/>
        <sz val="11"/>
        <color theme="1"/>
      </font>
      <border>
        <vertical/>
        <horizontal/>
      </border>
    </dxf>
    <dxf>
      <font>
        <color theme="1"/>
      </font>
      <border diagonalUp="0" diagonalDown="0">
        <left/>
        <right/>
        <top/>
        <bottom/>
        <vertical/>
        <horizontal/>
      </border>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color theme="0"/>
      </font>
      <fill>
        <patternFill patternType="solid">
          <fgColor theme="4"/>
          <bgColor theme="4"/>
        </patternFill>
      </fill>
      <border>
        <top style="thick">
          <color theme="0"/>
        </top>
      </border>
    </dxf>
    <dxf>
      <font>
        <b/>
        <color theme="0"/>
      </font>
      <fill>
        <patternFill patternType="solid">
          <fgColor theme="4"/>
          <bgColor rgb="FF06065C"/>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
      <font>
        <b/>
        <color theme="1"/>
      </font>
      <border>
        <bottom style="thin">
          <color theme="4"/>
        </bottom>
        <vertical/>
        <horizontal/>
      </border>
    </dxf>
    <dxf>
      <font>
        <color theme="1"/>
      </font>
      <border diagonalUp="0" diagonalDown="0">
        <left/>
        <right/>
        <top/>
        <bottom/>
        <vertical/>
        <horizontal/>
      </border>
    </dxf>
    <dxf>
      <font>
        <color theme="0"/>
      </font>
      <fill>
        <patternFill patternType="solid">
          <fgColor theme="4" tint="-0.499984740745262"/>
          <bgColor theme="4" tint="-0.499984740745262"/>
        </patternFill>
      </fill>
      <border>
        <horizontal style="thin">
          <color theme="4" tint="-0.499984740745262"/>
        </horizontal>
      </border>
    </dxf>
    <dxf>
      <font>
        <b/>
        <color theme="0"/>
      </font>
      <fill>
        <patternFill patternType="solid">
          <fgColor theme="4" tint="-0.499984740745262"/>
          <bgColor theme="4" tint="-0.499984740745262"/>
        </patternFill>
      </fill>
      <border>
        <horizontal style="thin">
          <color theme="4" tint="-0.499984740745262"/>
        </horizontal>
      </border>
    </dxf>
    <dxf>
      <font>
        <b/>
        <color theme="1"/>
      </font>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border>
        <bottom style="thin">
          <color theme="4" tint="0.79998168889431442"/>
        </bottom>
      </border>
    </dxf>
    <dxf>
      <border>
        <left style="thin">
          <color theme="4" tint="0.79998168889431442"/>
        </left>
        <right style="thin">
          <color theme="4" tint="0.79998168889431442"/>
        </right>
      </border>
    </dxf>
    <dxf>
      <fill>
        <patternFill patternType="solid">
          <fgColor theme="4" tint="0.39997558519241921"/>
          <bgColor theme="4" tint="0.39997558519241921"/>
        </patternFill>
      </fill>
    </dxf>
    <dxf>
      <font>
        <b/>
        <color theme="0"/>
      </font>
      <fill>
        <patternFill patternType="solid">
          <fgColor theme="4" tint="-0.499984740745262"/>
          <bgColor rgb="FF06065C"/>
        </patternFill>
      </fill>
    </dxf>
    <dxf>
      <font>
        <b/>
        <color theme="0"/>
      </font>
      <fill>
        <patternFill patternType="solid">
          <fgColor theme="4" tint="-0.499984740745262"/>
          <bgColor rgb="FF06065C"/>
        </patternFill>
      </fill>
      <border>
        <bottom style="thin">
          <color theme="4"/>
        </bottom>
        <horizontal style="thin">
          <color theme="4" tint="-0.499984740745262"/>
        </horizontal>
      </border>
    </dxf>
    <dxf>
      <font>
        <color theme="1"/>
      </font>
      <fill>
        <patternFill patternType="solid">
          <fgColor theme="4" tint="0.59999389629810485"/>
          <bgColor theme="4" tint="0.59999389629810485"/>
        </patternFill>
      </fill>
      <border>
        <horizontal style="thin">
          <color theme="4" tint="0.79998168889431442"/>
        </horizontal>
      </border>
    </dxf>
  </dxfs>
  <tableStyles count="4" defaultTableStyle="TableStyleMedium2" defaultPivotStyle="PivotStyleLight16">
    <tableStyle name="PivotStyleDark2 2" table="0" count="10" xr9:uid="{326AE8FB-A549-42DD-ACD8-291D34E23343}">
      <tableStyleElement type="wholeTable" dxfId="167"/>
      <tableStyleElement type="headerRow" dxfId="166"/>
      <tableStyleElement type="totalRow" dxfId="165"/>
      <tableStyleElement type="secondRowStripe" dxfId="164"/>
      <tableStyleElement type="secondColumnStripe" dxfId="163"/>
      <tableStyleElement type="firstSubtotalRow" dxfId="162"/>
      <tableStyleElement type="firstRowSubheading" dxfId="161"/>
      <tableStyleElement type="secondRowSubheading" dxfId="160"/>
      <tableStyleElement type="pageFieldLabels" dxfId="159"/>
      <tableStyleElement type="pageFieldValues" dxfId="158"/>
    </tableStyle>
    <tableStyle name="SlicerStyleLight1 2" pivot="0" table="0" count="10" xr9:uid="{C9C20F51-3A2F-485B-A1A0-7444550BF11C}">
      <tableStyleElement type="wholeTable" dxfId="157"/>
      <tableStyleElement type="headerRow" dxfId="156"/>
    </tableStyle>
    <tableStyle name="TableStyleMedium9 2" pivot="0" count="7" xr9:uid="{414E64EF-E0D8-42AA-9F48-35E899CCF984}">
      <tableStyleElement type="wholeTable" dxfId="155"/>
      <tableStyleElement type="headerRow" dxfId="154"/>
      <tableStyleElement type="totalRow" dxfId="153"/>
      <tableStyleElement type="firstColumn" dxfId="152"/>
      <tableStyleElement type="lastColumn" dxfId="151"/>
      <tableStyleElement type="firstRowStripe" dxfId="150"/>
      <tableStyleElement type="firstColumnStripe" dxfId="149"/>
    </tableStyle>
    <tableStyle name="TimeSlicerStyleLight1 2" pivot="0" table="0" count="9" xr9:uid="{78C6D175-1BE4-455B-9CE1-89EB62809024}">
      <tableStyleElement type="wholeTable" dxfId="148"/>
      <tableStyleElement type="headerRow" dxfId="147"/>
    </tableStyle>
  </tableStyles>
  <colors>
    <mruColors>
      <color rgb="FF0F219D"/>
      <color rgb="FF06065C"/>
      <color rgb="FF03035B"/>
      <color rgb="FF00005C"/>
      <color rgb="FF3399FF"/>
      <color rgb="FF00005A"/>
      <color rgb="FF6F61A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3399F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name val="Calibri Light"/>
            <family val="2"/>
            <scheme val="none"/>
          </font>
          <fill>
            <patternFill patternType="solid">
              <fgColor theme="4" tint="0.59999389629810485"/>
              <bgColor rgb="FF03035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F219D"/>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03035B"/>
            </patternFill>
          </fill>
          <border>
            <vertical/>
            <horizontal/>
          </border>
        </dxf>
        <dxf>
          <font>
            <b/>
            <i val="0"/>
            <sz val="9"/>
            <color theme="1"/>
            <name val="Calibri Light"/>
            <family val="2"/>
            <scheme val="none"/>
          </font>
          <border>
            <left/>
            <right/>
            <top/>
            <bottom/>
            <vertical/>
            <horizontal/>
          </border>
        </dxf>
        <dxf>
          <font>
            <b/>
            <i val="0"/>
            <sz val="9"/>
            <color theme="1"/>
            <name val="Calibri Light"/>
            <family val="2"/>
            <scheme val="none"/>
          </font>
          <border>
            <left/>
            <right/>
            <top/>
            <bottom/>
            <vertical/>
            <horizontal/>
          </border>
        </dxf>
        <dxf>
          <font>
            <b/>
            <i val="0"/>
            <sz val="9"/>
            <color theme="1"/>
            <name val="Calibri Light"/>
            <family val="2"/>
            <scheme val="none"/>
          </font>
          <border>
            <left/>
            <right/>
            <top/>
            <bottom/>
            <vertical/>
            <horizontal/>
          </border>
        </dxf>
        <dxf>
          <font>
            <b/>
            <i val="0"/>
            <sz val="10"/>
            <color theme="1"/>
            <name val="Calibri Light"/>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Buyers per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 and PivotCharts'!$I$72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A1-4999-9F9A-2B5E9AAE0A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A1-4999-9F9A-2B5E9AAE0A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 and PivotCharts'!$H$73:$H$75</c:f>
              <c:strCache>
                <c:ptCount val="2"/>
                <c:pt idx="0">
                  <c:v>Weekday</c:v>
                </c:pt>
                <c:pt idx="1">
                  <c:v>Weekend</c:v>
                </c:pt>
              </c:strCache>
            </c:strRef>
          </c:cat>
          <c:val>
            <c:numRef>
              <c:f>'PivotTables and PivotCharts'!$I$73:$I$75</c:f>
              <c:numCache>
                <c:formatCode>[$₹-4009]\ #,##0</c:formatCode>
                <c:ptCount val="2"/>
                <c:pt idx="0">
                  <c:v>141914.24090909091</c:v>
                </c:pt>
                <c:pt idx="1">
                  <c:v>132593.55681818182</c:v>
                </c:pt>
              </c:numCache>
            </c:numRef>
          </c:val>
          <c:extLst>
            <c:ext xmlns:c16="http://schemas.microsoft.com/office/drawing/2014/chart" uri="{C3380CC4-5D6E-409C-BE32-E72D297353CC}">
              <c16:uniqueId val="{00000000-6E45-476C-86DE-749DED0B84D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Marketing 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PivotCharts'!$E$120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PivotCharts'!$D$121:$D$125</c:f>
              <c:strCache>
                <c:ptCount val="4"/>
                <c:pt idx="0">
                  <c:v>Influencer</c:v>
                </c:pt>
                <c:pt idx="1">
                  <c:v>Media</c:v>
                </c:pt>
                <c:pt idx="2">
                  <c:v>Search</c:v>
                </c:pt>
                <c:pt idx="3">
                  <c:v>Social</c:v>
                </c:pt>
              </c:strCache>
            </c:strRef>
          </c:cat>
          <c:val>
            <c:numRef>
              <c:f>'PivotTables and PivotCharts'!$E$121:$E$125</c:f>
              <c:numCache>
                <c:formatCode>[$₹-4009]\ #,##0</c:formatCode>
                <c:ptCount val="4"/>
                <c:pt idx="0">
                  <c:v>21119887</c:v>
                </c:pt>
                <c:pt idx="1">
                  <c:v>6152960</c:v>
                </c:pt>
                <c:pt idx="2">
                  <c:v>3705065</c:v>
                </c:pt>
                <c:pt idx="3">
                  <c:v>11911454</c:v>
                </c:pt>
              </c:numCache>
            </c:numRef>
          </c:val>
          <c:extLst>
            <c:ext xmlns:c16="http://schemas.microsoft.com/office/drawing/2014/chart" uri="{C3380CC4-5D6E-409C-BE32-E72D297353CC}">
              <c16:uniqueId val="{00000000-4803-427F-8DC8-7125AF7E5DA5}"/>
            </c:ext>
          </c:extLst>
        </c:ser>
        <c:dLbls>
          <c:dLblPos val="outEnd"/>
          <c:showLegendKey val="0"/>
          <c:showVal val="1"/>
          <c:showCatName val="0"/>
          <c:showSerName val="0"/>
          <c:showPercent val="0"/>
          <c:showBubbleSize val="0"/>
        </c:dLbls>
        <c:gapWidth val="219"/>
        <c:overlap val="-27"/>
        <c:axId val="684135384"/>
        <c:axId val="684136824"/>
      </c:barChart>
      <c:catAx>
        <c:axId val="684135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36824"/>
        <c:crosses val="autoZero"/>
        <c:auto val="1"/>
        <c:lblAlgn val="ctr"/>
        <c:lblOffset val="100"/>
        <c:noMultiLvlLbl val="0"/>
      </c:catAx>
      <c:valAx>
        <c:axId val="684136824"/>
        <c:scaling>
          <c:orientation val="minMax"/>
        </c:scaling>
        <c:delete val="1"/>
        <c:axPos val="l"/>
        <c:numFmt formatCode="[$₹-4009]\ #,##0" sourceLinked="1"/>
        <c:majorTickMark val="none"/>
        <c:minorTickMark val="none"/>
        <c:tickLblPos val="nextTo"/>
        <c:crossAx val="684135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ROMI</a:t>
            </a:r>
            <a:r>
              <a:rPr lang="en-US" baseline="0"/>
              <a:t> by Location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'PivotTables and PivotCharts'!$M$15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1F-4347-8EA5-8547F706B7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1F-4347-8EA5-8547F706B7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1F-4347-8EA5-8547F706B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 and PivotCharts'!$L$16:$L$19</c:f>
              <c:strCache>
                <c:ptCount val="3"/>
                <c:pt idx="0">
                  <c:v>Not Applicable</c:v>
                </c:pt>
                <c:pt idx="1">
                  <c:v>Tier1</c:v>
                </c:pt>
                <c:pt idx="2">
                  <c:v>Tier2</c:v>
                </c:pt>
              </c:strCache>
            </c:strRef>
          </c:cat>
          <c:val>
            <c:numRef>
              <c:f>'PivotTables and PivotCharts'!$M$16:$M$19</c:f>
              <c:numCache>
                <c:formatCode>0.00%</c:formatCode>
                <c:ptCount val="3"/>
                <c:pt idx="0">
                  <c:v>0.61491356904791084</c:v>
                </c:pt>
                <c:pt idx="1">
                  <c:v>0.35291234084018114</c:v>
                </c:pt>
                <c:pt idx="2">
                  <c:v>-0.28233537164403022</c:v>
                </c:pt>
              </c:numCache>
            </c:numRef>
          </c:val>
          <c:extLst>
            <c:ext xmlns:c16="http://schemas.microsoft.com/office/drawing/2014/chart" uri="{C3380CC4-5D6E-409C-BE32-E72D297353CC}">
              <c16:uniqueId val="{00000006-80BC-4C08-B02E-20C290EF9FC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a:t>
            </a:r>
            <a:r>
              <a:rPr lang="en-US" baseline="0"/>
              <a:t> Budget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PivotCharts'!$E$35</c:f>
              <c:strCache>
                <c:ptCount val="1"/>
                <c:pt idx="0">
                  <c:v>Total</c:v>
                </c:pt>
              </c:strCache>
            </c:strRef>
          </c:tx>
          <c:spPr>
            <a:ln w="28575" cap="rnd">
              <a:solidFill>
                <a:schemeClr val="accent1"/>
              </a:solidFill>
              <a:round/>
            </a:ln>
            <a:effectLst/>
          </c:spPr>
          <c:marker>
            <c:symbol val="none"/>
          </c:marker>
          <c:cat>
            <c:strRef>
              <c:f>'PivotTables and PivotCharts'!$D$36:$D$64</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PivotCharts'!$E$36:$E$64</c:f>
              <c:numCache>
                <c:formatCode>[$₹-4009]\ #,##0.00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0-0C20-4E74-BD3F-A51B23465026}"/>
            </c:ext>
          </c:extLst>
        </c:ser>
        <c:dLbls>
          <c:showLegendKey val="0"/>
          <c:showVal val="0"/>
          <c:showCatName val="0"/>
          <c:showSerName val="0"/>
          <c:showPercent val="0"/>
          <c:showBubbleSize val="0"/>
        </c:dLbls>
        <c:smooth val="0"/>
        <c:axId val="643793488"/>
        <c:axId val="643794208"/>
      </c:lineChart>
      <c:catAx>
        <c:axId val="64379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94208"/>
        <c:crosses val="autoZero"/>
        <c:auto val="1"/>
        <c:lblAlgn val="ctr"/>
        <c:lblOffset val="100"/>
        <c:noMultiLvlLbl val="0"/>
      </c:catAx>
      <c:valAx>
        <c:axId val="64379420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9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AOV</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PivotCharts'!$M$35</c:f>
              <c:strCache>
                <c:ptCount val="1"/>
                <c:pt idx="0">
                  <c:v>Total</c:v>
                </c:pt>
              </c:strCache>
            </c:strRef>
          </c:tx>
          <c:spPr>
            <a:ln w="28575" cap="rnd">
              <a:solidFill>
                <a:schemeClr val="accent1"/>
              </a:solidFill>
              <a:round/>
            </a:ln>
            <a:effectLst/>
          </c:spPr>
          <c:marker>
            <c:symbol val="none"/>
          </c:marker>
          <c:cat>
            <c:strRef>
              <c:f>'PivotTables and PivotCharts'!$L$36:$L$64</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PivotCharts'!$M$36:$M$64</c:f>
              <c:numCache>
                <c:formatCode>[$₹-4009]\ #,##0</c:formatCode>
                <c:ptCount val="28"/>
                <c:pt idx="0">
                  <c:v>6089.2</c:v>
                </c:pt>
                <c:pt idx="1">
                  <c:v>5858.6851851851852</c:v>
                </c:pt>
                <c:pt idx="2">
                  <c:v>5799.0549450549452</c:v>
                </c:pt>
                <c:pt idx="3">
                  <c:v>5203.5</c:v>
                </c:pt>
                <c:pt idx="4">
                  <c:v>5694.1536842105261</c:v>
                </c:pt>
                <c:pt idx="5">
                  <c:v>5549.32</c:v>
                </c:pt>
                <c:pt idx="6">
                  <c:v>5054.0348837209303</c:v>
                </c:pt>
                <c:pt idx="7">
                  <c:v>5144.25</c:v>
                </c:pt>
                <c:pt idx="8">
                  <c:v>5340.5243902439024</c:v>
                </c:pt>
                <c:pt idx="9">
                  <c:v>4203.9533678756479</c:v>
                </c:pt>
                <c:pt idx="10">
                  <c:v>6012.3423076923073</c:v>
                </c:pt>
                <c:pt idx="11">
                  <c:v>5278.5477707006366</c:v>
                </c:pt>
                <c:pt idx="12">
                  <c:v>5349.0324427480919</c:v>
                </c:pt>
                <c:pt idx="13">
                  <c:v>4714.8669527897</c:v>
                </c:pt>
                <c:pt idx="14">
                  <c:v>5417</c:v>
                </c:pt>
                <c:pt idx="15">
                  <c:v>5232.0722543352604</c:v>
                </c:pt>
                <c:pt idx="16">
                  <c:v>5213.0113350125948</c:v>
                </c:pt>
                <c:pt idx="17">
                  <c:v>5114.5384615384619</c:v>
                </c:pt>
                <c:pt idx="18">
                  <c:v>5871.5938606847694</c:v>
                </c:pt>
                <c:pt idx="19">
                  <c:v>5143.2267839687192</c:v>
                </c:pt>
                <c:pt idx="20">
                  <c:v>5080.1395348837214</c:v>
                </c:pt>
                <c:pt idx="21">
                  <c:v>5617.3207547169814</c:v>
                </c:pt>
                <c:pt idx="22">
                  <c:v>4928.757575757576</c:v>
                </c:pt>
                <c:pt idx="23">
                  <c:v>4945.606741573034</c:v>
                </c:pt>
                <c:pt idx="24">
                  <c:v>4965.1499999999996</c:v>
                </c:pt>
                <c:pt idx="25">
                  <c:v>6282.8421052631575</c:v>
                </c:pt>
                <c:pt idx="26">
                  <c:v>6112.7142857142853</c:v>
                </c:pt>
                <c:pt idx="27">
                  <c:v>5858.7692307692305</c:v>
                </c:pt>
              </c:numCache>
            </c:numRef>
          </c:val>
          <c:smooth val="0"/>
          <c:extLst>
            <c:ext xmlns:c16="http://schemas.microsoft.com/office/drawing/2014/chart" uri="{C3380CC4-5D6E-409C-BE32-E72D297353CC}">
              <c16:uniqueId val="{00000000-007C-4F7B-98B5-5C121EAF618B}"/>
            </c:ext>
          </c:extLst>
        </c:ser>
        <c:dLbls>
          <c:showLegendKey val="0"/>
          <c:showVal val="0"/>
          <c:showCatName val="0"/>
          <c:showSerName val="0"/>
          <c:showPercent val="0"/>
          <c:showBubbleSize val="0"/>
        </c:dLbls>
        <c:smooth val="0"/>
        <c:axId val="684129624"/>
        <c:axId val="684126744"/>
      </c:lineChart>
      <c:catAx>
        <c:axId val="68412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26744"/>
        <c:crosses val="autoZero"/>
        <c:auto val="1"/>
        <c:lblAlgn val="ctr"/>
        <c:lblOffset val="100"/>
        <c:noMultiLvlLbl val="0"/>
      </c:catAx>
      <c:valAx>
        <c:axId val="684126744"/>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129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Rate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PivotCharts'!$Q$35:$Q$36</c:f>
              <c:strCache>
                <c:ptCount val="1"/>
                <c:pt idx="0">
                  <c:v>High</c:v>
                </c:pt>
              </c:strCache>
            </c:strRef>
          </c:tx>
          <c:spPr>
            <a:ln w="28575" cap="rnd">
              <a:solidFill>
                <a:schemeClr val="accent1"/>
              </a:solidFill>
              <a:round/>
            </a:ln>
            <a:effectLst/>
          </c:spPr>
          <c:marker>
            <c:symbol val="none"/>
          </c:marker>
          <c:cat>
            <c:strRef>
              <c:f>'PivotTables and PivotCharts'!$P$37:$P$65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PivotCharts'!$Q$37:$Q$65</c:f>
              <c:numCache>
                <c:formatCode>0.00%</c:formatCode>
                <c:ptCount val="28"/>
                <c:pt idx="0">
                  <c:v>0.21153846153846154</c:v>
                </c:pt>
                <c:pt idx="1">
                  <c:v>0.18181818181818182</c:v>
                </c:pt>
                <c:pt idx="2">
                  <c:v>0.19839999999999999</c:v>
                </c:pt>
                <c:pt idx="3">
                  <c:v>0.18404351767905711</c:v>
                </c:pt>
                <c:pt idx="4">
                  <c:v>0.18744228993536471</c:v>
                </c:pt>
                <c:pt idx="5">
                  <c:v>0.19631901840490798</c:v>
                </c:pt>
                <c:pt idx="6">
                  <c:v>0.1864406779661017</c:v>
                </c:pt>
                <c:pt idx="7">
                  <c:v>0.18497109826589594</c:v>
                </c:pt>
                <c:pt idx="8">
                  <c:v>0.16831683168316833</c:v>
                </c:pt>
                <c:pt idx="9">
                  <c:v>0.19157608695652173</c:v>
                </c:pt>
                <c:pt idx="10">
                  <c:v>0.19230769230769232</c:v>
                </c:pt>
                <c:pt idx="11">
                  <c:v>0.17976318622174381</c:v>
                </c:pt>
                <c:pt idx="12">
                  <c:v>0.17464114832535885</c:v>
                </c:pt>
                <c:pt idx="13">
                  <c:v>0.15464895635673626</c:v>
                </c:pt>
                <c:pt idx="14">
                  <c:v>0.16133942161339421</c:v>
                </c:pt>
                <c:pt idx="15">
                  <c:v>0.18130577736026304</c:v>
                </c:pt>
                <c:pt idx="16">
                  <c:v>0.19383003492433062</c:v>
                </c:pt>
                <c:pt idx="17">
                  <c:v>0.19461077844311378</c:v>
                </c:pt>
                <c:pt idx="18">
                  <c:v>0.19376313945339874</c:v>
                </c:pt>
                <c:pt idx="19">
                  <c:v>0.16034527857703373</c:v>
                </c:pt>
                <c:pt idx="20">
                  <c:v>0.19548872180451127</c:v>
                </c:pt>
                <c:pt idx="21">
                  <c:v>0.234375</c:v>
                </c:pt>
                <c:pt idx="22">
                  <c:v>0.18840579710144928</c:v>
                </c:pt>
                <c:pt idx="23">
                  <c:v>0.1748768472906404</c:v>
                </c:pt>
                <c:pt idx="24">
                  <c:v>0.19230769230769232</c:v>
                </c:pt>
                <c:pt idx="25">
                  <c:v>0.2</c:v>
                </c:pt>
                <c:pt idx="26">
                  <c:v>0.18518518518518517</c:v>
                </c:pt>
                <c:pt idx="27">
                  <c:v>0.22580645161290322</c:v>
                </c:pt>
              </c:numCache>
            </c:numRef>
          </c:val>
          <c:smooth val="0"/>
          <c:extLst>
            <c:ext xmlns:c16="http://schemas.microsoft.com/office/drawing/2014/chart" uri="{C3380CC4-5D6E-409C-BE32-E72D297353CC}">
              <c16:uniqueId val="{00000000-287E-46E7-8B27-AAF081491B7B}"/>
            </c:ext>
          </c:extLst>
        </c:ser>
        <c:ser>
          <c:idx val="1"/>
          <c:order val="1"/>
          <c:tx>
            <c:strRef>
              <c:f>'PivotTables and PivotCharts'!$R$35:$R$36</c:f>
              <c:strCache>
                <c:ptCount val="1"/>
                <c:pt idx="0">
                  <c:v>Low</c:v>
                </c:pt>
              </c:strCache>
            </c:strRef>
          </c:tx>
          <c:spPr>
            <a:ln w="28575" cap="rnd">
              <a:solidFill>
                <a:schemeClr val="accent1"/>
              </a:solidFill>
              <a:round/>
            </a:ln>
            <a:effectLst/>
          </c:spPr>
          <c:marker>
            <c:symbol val="none"/>
          </c:marker>
          <c:cat>
            <c:strRef>
              <c:f>'PivotTables and PivotCharts'!$P$37:$P$65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PivotCharts'!$R$37:$R$65</c:f>
              <c:numCache>
                <c:formatCode>0.00%</c:formatCode>
                <c:ptCount val="28"/>
                <c:pt idx="0">
                  <c:v>6.7615658362989328E-2</c:v>
                </c:pt>
                <c:pt idx="1">
                  <c:v>0.10476190476190476</c:v>
                </c:pt>
                <c:pt idx="2">
                  <c:v>8.9921544960772481E-2</c:v>
                </c:pt>
                <c:pt idx="3">
                  <c:v>8.6046511627906982E-2</c:v>
                </c:pt>
                <c:pt idx="4">
                  <c:v>0.10077806595035198</c:v>
                </c:pt>
                <c:pt idx="5">
                  <c:v>9.2473118279569888E-2</c:v>
                </c:pt>
                <c:pt idx="6">
                  <c:v>7.3813708260105443E-2</c:v>
                </c:pt>
                <c:pt idx="7">
                  <c:v>7.8431372549019607E-2</c:v>
                </c:pt>
                <c:pt idx="8">
                  <c:v>9.1715976331360943E-2</c:v>
                </c:pt>
                <c:pt idx="9">
                  <c:v>5.3997923156801658E-2</c:v>
                </c:pt>
                <c:pt idx="10">
                  <c:v>0.10180995475113122</c:v>
                </c:pt>
                <c:pt idx="11">
                  <c:v>9.375E-2</c:v>
                </c:pt>
                <c:pt idx="12">
                  <c:v>8.4126984126984133E-2</c:v>
                </c:pt>
                <c:pt idx="13">
                  <c:v>9.6836049856184089E-2</c:v>
                </c:pt>
                <c:pt idx="14">
                  <c:v>7.7012835472578769E-2</c:v>
                </c:pt>
                <c:pt idx="15">
                  <c:v>8.6318758815232724E-2</c:v>
                </c:pt>
                <c:pt idx="16">
                  <c:v>0.10773545220845993</c:v>
                </c:pt>
                <c:pt idx="17">
                  <c:v>8.3135391923990498E-2</c:v>
                </c:pt>
                <c:pt idx="18">
                  <c:v>9.6078431372549025E-2</c:v>
                </c:pt>
                <c:pt idx="19">
                  <c:v>9.6266729279173513E-2</c:v>
                </c:pt>
                <c:pt idx="20">
                  <c:v>8.2125603864734303E-2</c:v>
                </c:pt>
                <c:pt idx="21">
                  <c:v>0.11220472440944881</c:v>
                </c:pt>
                <c:pt idx="22">
                  <c:v>9.3457943925233641E-2</c:v>
                </c:pt>
                <c:pt idx="23">
                  <c:v>7.4999999999999997E-2</c:v>
                </c:pt>
                <c:pt idx="24">
                  <c:v>9.0909090909090912E-2</c:v>
                </c:pt>
                <c:pt idx="25">
                  <c:v>8.7136929460580909E-2</c:v>
                </c:pt>
                <c:pt idx="26">
                  <c:v>4.6511627906976744E-2</c:v>
                </c:pt>
                <c:pt idx="27">
                  <c:v>8.4507042253521125E-2</c:v>
                </c:pt>
              </c:numCache>
            </c:numRef>
          </c:val>
          <c:smooth val="0"/>
          <c:extLst>
            <c:ext xmlns:c16="http://schemas.microsoft.com/office/drawing/2014/chart" uri="{C3380CC4-5D6E-409C-BE32-E72D297353CC}">
              <c16:uniqueId val="{00000000-44D8-4706-BE9E-41F8AD288197}"/>
            </c:ext>
          </c:extLst>
        </c:ser>
        <c:dLbls>
          <c:showLegendKey val="0"/>
          <c:showVal val="0"/>
          <c:showCatName val="0"/>
          <c:showSerName val="0"/>
          <c:showPercent val="0"/>
          <c:showBubbleSize val="0"/>
        </c:dLbls>
        <c:smooth val="0"/>
        <c:axId val="643272112"/>
        <c:axId val="643278592"/>
      </c:lineChart>
      <c:catAx>
        <c:axId val="64327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78592"/>
        <c:crosses val="autoZero"/>
        <c:auto val="1"/>
        <c:lblAlgn val="ctr"/>
        <c:lblOffset val="100"/>
        <c:noMultiLvlLbl val="0"/>
      </c:catAx>
      <c:valAx>
        <c:axId val="64327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7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PivotCharts'!$E$88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PivotCharts'!$D$89:$D$100</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'PivotTables and PivotCharts'!$E$89:$E$100</c:f>
              <c:numCache>
                <c:formatCode>_ [$₹-4009]\ * #,##0_ ;_ [$₹-4009]\ * \-#,##0_ ;_ [$₹-4009]\ * "-"??_ ;_ @_ </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0-CC7F-42E9-8639-5A92D888E14C}"/>
            </c:ext>
          </c:extLst>
        </c:ser>
        <c:dLbls>
          <c:dLblPos val="outEnd"/>
          <c:showLegendKey val="0"/>
          <c:showVal val="1"/>
          <c:showCatName val="0"/>
          <c:showSerName val="0"/>
          <c:showPercent val="0"/>
          <c:showBubbleSize val="0"/>
        </c:dLbls>
        <c:gapWidth val="182"/>
        <c:axId val="643276792"/>
        <c:axId val="643275352"/>
      </c:barChart>
      <c:catAx>
        <c:axId val="643276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75352"/>
        <c:crosses val="autoZero"/>
        <c:auto val="1"/>
        <c:lblAlgn val="ctr"/>
        <c:lblOffset val="100"/>
        <c:noMultiLvlLbl val="0"/>
      </c:catAx>
      <c:valAx>
        <c:axId val="643275352"/>
        <c:scaling>
          <c:orientation val="minMax"/>
        </c:scaling>
        <c:delete val="1"/>
        <c:axPos val="b"/>
        <c:numFmt formatCode="_ [$₹-4009]\ * #,##0_ ;_ [$₹-4009]\ * \-#,##0_ ;_ [$₹-4009]\ * &quot;-&quot;??_ ;_ @_ " sourceLinked="1"/>
        <c:majorTickMark val="none"/>
        <c:minorTickMark val="none"/>
        <c:tickLblPos val="nextTo"/>
        <c:crossAx val="643276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Acquisition Cost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PivotCharts'!$M$88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PivotCharts'!$L$89:$L$100</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'PivotTables and PivotCharts'!$M$89:$M$100</c:f>
              <c:numCache>
                <c:formatCode>_ [$₹-4009]\ * #,##0_ ;_ [$₹-4009]\ * \-#,##0_ ;_ [$₹-4009]\ * "-"??_ ;_ @_ </c:formatCode>
                <c:ptCount val="11"/>
                <c:pt idx="0">
                  <c:v>3209.8817113665395</c:v>
                </c:pt>
                <c:pt idx="1">
                  <c:v>8986.1878911564618</c:v>
                </c:pt>
                <c:pt idx="2">
                  <c:v>2467.279814814814</c:v>
                </c:pt>
                <c:pt idx="3">
                  <c:v>5410.9567088607619</c:v>
                </c:pt>
                <c:pt idx="4">
                  <c:v>6822.4868749999996</c:v>
                </c:pt>
                <c:pt idx="5">
                  <c:v>4270.4582206405685</c:v>
                </c:pt>
                <c:pt idx="6">
                  <c:v>4132.3607129798911</c:v>
                </c:pt>
                <c:pt idx="7">
                  <c:v>3861.2432454545465</c:v>
                </c:pt>
                <c:pt idx="8">
                  <c:v>3384.2707783641167</c:v>
                </c:pt>
                <c:pt idx="9">
                  <c:v>3406.2420127795522</c:v>
                </c:pt>
                <c:pt idx="10">
                  <c:v>2120.1340177638453</c:v>
                </c:pt>
              </c:numCache>
            </c:numRef>
          </c:val>
          <c:extLst>
            <c:ext xmlns:c16="http://schemas.microsoft.com/office/drawing/2014/chart" uri="{C3380CC4-5D6E-409C-BE32-E72D297353CC}">
              <c16:uniqueId val="{00000000-8274-4FE5-AD9B-2BCE0B32A6E8}"/>
            </c:ext>
          </c:extLst>
        </c:ser>
        <c:dLbls>
          <c:dLblPos val="outEnd"/>
          <c:showLegendKey val="0"/>
          <c:showVal val="1"/>
          <c:showCatName val="0"/>
          <c:showSerName val="0"/>
          <c:showPercent val="0"/>
          <c:showBubbleSize val="0"/>
        </c:dLbls>
        <c:gapWidth val="182"/>
        <c:axId val="691420800"/>
        <c:axId val="691418640"/>
      </c:barChart>
      <c:catAx>
        <c:axId val="69142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18640"/>
        <c:crosses val="autoZero"/>
        <c:auto val="1"/>
        <c:lblAlgn val="ctr"/>
        <c:lblOffset val="100"/>
        <c:noMultiLvlLbl val="0"/>
      </c:catAx>
      <c:valAx>
        <c:axId val="691418640"/>
        <c:scaling>
          <c:orientation val="minMax"/>
        </c:scaling>
        <c:delete val="1"/>
        <c:axPos val="b"/>
        <c:numFmt formatCode="_ [$₹-4009]\ * #,##0_ ;_ [$₹-4009]\ * \-#,##0_ ;_ [$₹-4009]\ * &quot;-&quot;??_ ;_ @_ " sourceLinked="1"/>
        <c:majorTickMark val="none"/>
        <c:minorTickMark val="none"/>
        <c:tickLblPos val="nextTo"/>
        <c:crossAx val="69142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a:t>
            </a:r>
            <a:r>
              <a:rPr lang="en-US" baseline="0"/>
              <a:t> Budget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PivotCharts'!$Q$88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PivotCharts'!$P$89:$P$100</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'PivotTables and PivotCharts'!$Q$89:$Q$100</c:f>
              <c:numCache>
                <c:formatCode>_ [$₹-4009]\ * #,##0_ ;_ [$₹-4009]\ * \-#,##0_ ;_ [$₹-4009]\ * "-"??_ ;_ @_ </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0-4FFA-4A4C-865F-DBDB76F4DF40}"/>
            </c:ext>
          </c:extLst>
        </c:ser>
        <c:dLbls>
          <c:dLblPos val="outEnd"/>
          <c:showLegendKey val="0"/>
          <c:showVal val="1"/>
          <c:showCatName val="0"/>
          <c:showSerName val="0"/>
          <c:showPercent val="0"/>
          <c:showBubbleSize val="0"/>
        </c:dLbls>
        <c:gapWidth val="182"/>
        <c:axId val="691413960"/>
        <c:axId val="691415040"/>
      </c:barChart>
      <c:catAx>
        <c:axId val="691413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15040"/>
        <c:crosses val="autoZero"/>
        <c:auto val="1"/>
        <c:lblAlgn val="ctr"/>
        <c:lblOffset val="100"/>
        <c:noMultiLvlLbl val="0"/>
      </c:catAx>
      <c:valAx>
        <c:axId val="691415040"/>
        <c:scaling>
          <c:orientation val="minMax"/>
        </c:scaling>
        <c:delete val="1"/>
        <c:axPos val="b"/>
        <c:numFmt formatCode="_ [$₹-4009]\ * #,##0_ ;_ [$₹-4009]\ * \-#,##0_ ;_ [$₹-4009]\ * &quot;-&quot;??_ ;_ @_ " sourceLinked="1"/>
        <c:majorTickMark val="none"/>
        <c:minorTickMark val="none"/>
        <c:tickLblPos val="nextTo"/>
        <c:crossAx val="69141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PivotCharts'!$E$108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PivotCharts'!$D$109:$D$112</c:f>
              <c:strCache>
                <c:ptCount val="3"/>
                <c:pt idx="0">
                  <c:v>Not Applicable</c:v>
                </c:pt>
                <c:pt idx="1">
                  <c:v>Tier1</c:v>
                </c:pt>
                <c:pt idx="2">
                  <c:v>Tier2</c:v>
                </c:pt>
              </c:strCache>
            </c:strRef>
          </c:cat>
          <c:val>
            <c:numRef>
              <c:f>'PivotTables and PivotCharts'!$E$109:$E$112</c:f>
              <c:numCache>
                <c:formatCode>_ [$₹-4009]\ * #,##0_ ;_ [$₹-4009]\ * \-#,##0_ ;_ [$₹-4009]\ * "-"??_ ;_ @_ </c:formatCode>
                <c:ptCount val="3"/>
                <c:pt idx="0">
                  <c:v>31815064</c:v>
                </c:pt>
                <c:pt idx="1">
                  <c:v>6940536</c:v>
                </c:pt>
                <c:pt idx="2">
                  <c:v>4133766</c:v>
                </c:pt>
              </c:numCache>
            </c:numRef>
          </c:val>
          <c:extLst>
            <c:ext xmlns:c16="http://schemas.microsoft.com/office/drawing/2014/chart" uri="{C3380CC4-5D6E-409C-BE32-E72D297353CC}">
              <c16:uniqueId val="{00000000-A483-44E0-972E-996834448F26}"/>
            </c:ext>
          </c:extLst>
        </c:ser>
        <c:dLbls>
          <c:dLblPos val="outEnd"/>
          <c:showLegendKey val="0"/>
          <c:showVal val="1"/>
          <c:showCatName val="0"/>
          <c:showSerName val="0"/>
          <c:showPercent val="0"/>
          <c:showBubbleSize val="0"/>
        </c:dLbls>
        <c:gapWidth val="219"/>
        <c:overlap val="-27"/>
        <c:axId val="691417920"/>
        <c:axId val="691419000"/>
      </c:barChart>
      <c:catAx>
        <c:axId val="69141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19000"/>
        <c:crosses val="autoZero"/>
        <c:auto val="1"/>
        <c:lblAlgn val="ctr"/>
        <c:lblOffset val="100"/>
        <c:noMultiLvlLbl val="0"/>
      </c:catAx>
      <c:valAx>
        <c:axId val="691419000"/>
        <c:scaling>
          <c:orientation val="minMax"/>
        </c:scaling>
        <c:delete val="1"/>
        <c:axPos val="l"/>
        <c:numFmt formatCode="_ [$₹-4009]\ * #,##0_ ;_ [$₹-4009]\ * \-#,##0_ ;_ [$₹-4009]\ * &quot;-&quot;??_ ;_ @_ " sourceLinked="1"/>
        <c:majorTickMark val="none"/>
        <c:minorTickMark val="none"/>
        <c:tickLblPos val="nextTo"/>
        <c:crossAx val="6914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PivotCharts!PivotTable19</c:name>
    <c:fmtId val="5"/>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Revenue By Marketing Category</a:t>
            </a:r>
            <a:r>
              <a:rPr lang="en-US" sz="1100" b="1" baseline="0">
                <a:solidFill>
                  <a:schemeClr val="tx1"/>
                </a:solidFill>
                <a:latin typeface="Century" panose="02040604050505020304" pitchFamily="18" charset="0"/>
              </a:rPr>
              <a:t> </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2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PivotCharts'!$E$120</c:f>
              <c:strCache>
                <c:ptCount val="1"/>
                <c:pt idx="0">
                  <c:v>Total</c:v>
                </c:pt>
              </c:strCache>
            </c:strRef>
          </c:tx>
          <c:spPr>
            <a:solidFill>
              <a:srgbClr val="0F21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PivotCharts'!$D$121:$D$125</c:f>
              <c:strCache>
                <c:ptCount val="4"/>
                <c:pt idx="0">
                  <c:v>Influencer</c:v>
                </c:pt>
                <c:pt idx="1">
                  <c:v>Media</c:v>
                </c:pt>
                <c:pt idx="2">
                  <c:v>Search</c:v>
                </c:pt>
                <c:pt idx="3">
                  <c:v>Social</c:v>
                </c:pt>
              </c:strCache>
            </c:strRef>
          </c:cat>
          <c:val>
            <c:numRef>
              <c:f>'PivotTables and PivotCharts'!$E$121:$E$125</c:f>
              <c:numCache>
                <c:formatCode>[$₹-4009]\ #,##0</c:formatCode>
                <c:ptCount val="4"/>
                <c:pt idx="0">
                  <c:v>21119887</c:v>
                </c:pt>
                <c:pt idx="1">
                  <c:v>6152960</c:v>
                </c:pt>
                <c:pt idx="2">
                  <c:v>3705065</c:v>
                </c:pt>
                <c:pt idx="3">
                  <c:v>11911454</c:v>
                </c:pt>
              </c:numCache>
            </c:numRef>
          </c:val>
          <c:extLst>
            <c:ext xmlns:c16="http://schemas.microsoft.com/office/drawing/2014/chart" uri="{C3380CC4-5D6E-409C-BE32-E72D297353CC}">
              <c16:uniqueId val="{00000000-3E9B-422B-9ED7-84835D8C7483}"/>
            </c:ext>
          </c:extLst>
        </c:ser>
        <c:dLbls>
          <c:dLblPos val="outEnd"/>
          <c:showLegendKey val="0"/>
          <c:showVal val="1"/>
          <c:showCatName val="0"/>
          <c:showSerName val="0"/>
          <c:showPercent val="0"/>
          <c:showBubbleSize val="0"/>
        </c:dLbls>
        <c:gapWidth val="219"/>
        <c:overlap val="-27"/>
        <c:axId val="684135384"/>
        <c:axId val="684136824"/>
      </c:barChart>
      <c:catAx>
        <c:axId val="6841353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panose="02040604050505020304" pitchFamily="18" charset="0"/>
                <a:ea typeface="+mn-ea"/>
                <a:cs typeface="+mn-cs"/>
              </a:defRPr>
            </a:pPr>
            <a:endParaRPr lang="en-US"/>
          </a:p>
        </c:txPr>
        <c:crossAx val="684136824"/>
        <c:crosses val="autoZero"/>
        <c:auto val="1"/>
        <c:lblAlgn val="ctr"/>
        <c:lblOffset val="100"/>
        <c:noMultiLvlLbl val="0"/>
      </c:catAx>
      <c:valAx>
        <c:axId val="684136824"/>
        <c:scaling>
          <c:orientation val="minMax"/>
        </c:scaling>
        <c:delete val="1"/>
        <c:axPos val="l"/>
        <c:numFmt formatCode="[$₹-4009]\ #,##0" sourceLinked="1"/>
        <c:majorTickMark val="none"/>
        <c:minorTickMark val="none"/>
        <c:tickLblPos val="nextTo"/>
        <c:crossAx val="684135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PivotCharts!PivotTable11</c:name>
    <c:fmtId val="6"/>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Revenue</a:t>
            </a:r>
            <a:r>
              <a:rPr lang="en-US" sz="1100" b="1" baseline="0">
                <a:solidFill>
                  <a:schemeClr val="tx1"/>
                </a:solidFill>
                <a:latin typeface="Century" panose="02040604050505020304" pitchFamily="18" charset="0"/>
              </a:rPr>
              <a:t> by Campaign</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2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PivotCharts'!$E$88</c:f>
              <c:strCache>
                <c:ptCount val="1"/>
                <c:pt idx="0">
                  <c:v>Total</c:v>
                </c:pt>
              </c:strCache>
            </c:strRef>
          </c:tx>
          <c:spPr>
            <a:solidFill>
              <a:srgbClr val="0F21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PivotCharts'!$D$89:$D$100</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'PivotTables and PivotCharts'!$E$89:$E$100</c:f>
              <c:numCache>
                <c:formatCode>_ [$₹-4009]\ * #,##0_ ;_ [$₹-4009]\ * \-#,##0_ ;_ [$₹-4009]\ * "-"??_ ;_ @_ </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0-9205-491B-A5B8-E9422686BE4F}"/>
            </c:ext>
          </c:extLst>
        </c:ser>
        <c:dLbls>
          <c:dLblPos val="outEnd"/>
          <c:showLegendKey val="0"/>
          <c:showVal val="1"/>
          <c:showCatName val="0"/>
          <c:showSerName val="0"/>
          <c:showPercent val="0"/>
          <c:showBubbleSize val="0"/>
        </c:dLbls>
        <c:gapWidth val="182"/>
        <c:axId val="643276792"/>
        <c:axId val="643275352"/>
      </c:barChart>
      <c:catAx>
        <c:axId val="643276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solidFill>
                <a:latin typeface="Century" panose="02040604050505020304" pitchFamily="18" charset="0"/>
                <a:ea typeface="+mn-ea"/>
                <a:cs typeface="+mn-cs"/>
              </a:defRPr>
            </a:pPr>
            <a:endParaRPr lang="en-US"/>
          </a:p>
        </c:txPr>
        <c:crossAx val="643275352"/>
        <c:crosses val="autoZero"/>
        <c:auto val="1"/>
        <c:lblAlgn val="ctr"/>
        <c:lblOffset val="100"/>
        <c:noMultiLvlLbl val="0"/>
      </c:catAx>
      <c:valAx>
        <c:axId val="643275352"/>
        <c:scaling>
          <c:orientation val="minMax"/>
        </c:scaling>
        <c:delete val="1"/>
        <c:axPos val="b"/>
        <c:numFmt formatCode="_ [$₹-4009]\ * #,##0_ ;_ [$₹-4009]\ * \-#,##0_ ;_ [$₹-4009]\ * &quot;-&quot;??_ ;_ @_ " sourceLinked="1"/>
        <c:majorTickMark val="none"/>
        <c:minorTickMark val="none"/>
        <c:tickLblPos val="nextTo"/>
        <c:crossAx val="643276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PivotCharts!PivotTable8</c:name>
    <c:fmtId val="7"/>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Marketing</a:t>
            </a:r>
            <a:r>
              <a:rPr lang="en-US" sz="1100" b="1" baseline="0">
                <a:solidFill>
                  <a:schemeClr val="tx1"/>
                </a:solidFill>
                <a:latin typeface="Century" panose="02040604050505020304" pitchFamily="18" charset="0"/>
              </a:rPr>
              <a:t> Budget Trend</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F61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PivotCharts'!$E$35</c:f>
              <c:strCache>
                <c:ptCount val="1"/>
                <c:pt idx="0">
                  <c:v>Total</c:v>
                </c:pt>
              </c:strCache>
            </c:strRef>
          </c:tx>
          <c:spPr>
            <a:ln w="28575" cap="rnd">
              <a:solidFill>
                <a:srgbClr val="6F61AF"/>
              </a:solidFill>
              <a:round/>
            </a:ln>
            <a:effectLst/>
          </c:spPr>
          <c:marker>
            <c:symbol val="none"/>
          </c:marker>
          <c:cat>
            <c:strRef>
              <c:f>'PivotTables and PivotCharts'!$D$36:$D$64</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PivotCharts'!$E$36:$E$64</c:f>
              <c:numCache>
                <c:formatCode>[$₹-4009]\ #,##0.00</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0-A5EA-44E2-BDE7-5F226BEC5C29}"/>
            </c:ext>
          </c:extLst>
        </c:ser>
        <c:dLbls>
          <c:showLegendKey val="0"/>
          <c:showVal val="0"/>
          <c:showCatName val="0"/>
          <c:showSerName val="0"/>
          <c:showPercent val="0"/>
          <c:showBubbleSize val="0"/>
        </c:dLbls>
        <c:smooth val="0"/>
        <c:axId val="643793488"/>
        <c:axId val="643794208"/>
      </c:lineChart>
      <c:catAx>
        <c:axId val="6437934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Century" panose="02040604050505020304" pitchFamily="18" charset="0"/>
                <a:ea typeface="+mn-ea"/>
                <a:cs typeface="+mn-cs"/>
              </a:defRPr>
            </a:pPr>
            <a:endParaRPr lang="en-US"/>
          </a:p>
        </c:txPr>
        <c:crossAx val="643794208"/>
        <c:crosses val="autoZero"/>
        <c:auto val="1"/>
        <c:lblAlgn val="ctr"/>
        <c:lblOffset val="100"/>
        <c:noMultiLvlLbl val="0"/>
      </c:catAx>
      <c:valAx>
        <c:axId val="643794208"/>
        <c:scaling>
          <c:orientation val="minMax"/>
        </c:scaling>
        <c:delete val="0"/>
        <c:axPos val="l"/>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4379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PivotCharts!PivotTable2</c:name>
    <c:fmtId val="4"/>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Conversion</a:t>
            </a:r>
            <a:r>
              <a:rPr lang="en-US" sz="1100" b="1" baseline="0">
                <a:solidFill>
                  <a:schemeClr val="tx1"/>
                </a:solidFill>
                <a:latin typeface="Century" panose="02040604050505020304" pitchFamily="18" charset="0"/>
              </a:rPr>
              <a:t> Rate Trend</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F219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F61A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 and PivotCharts'!$Q$35:$Q$36</c:f>
              <c:strCache>
                <c:ptCount val="1"/>
                <c:pt idx="0">
                  <c:v>High</c:v>
                </c:pt>
              </c:strCache>
            </c:strRef>
          </c:tx>
          <c:spPr>
            <a:ln w="28575" cap="rnd">
              <a:solidFill>
                <a:schemeClr val="accent1"/>
              </a:solidFill>
              <a:round/>
            </a:ln>
            <a:effectLst/>
          </c:spPr>
          <c:marker>
            <c:symbol val="none"/>
          </c:marker>
          <c:cat>
            <c:strRef>
              <c:f>'PivotTables and PivotCharts'!$P$37:$P$65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PivotCharts'!$Q$37:$Q$65</c:f>
              <c:numCache>
                <c:formatCode>0.00%</c:formatCode>
                <c:ptCount val="28"/>
                <c:pt idx="0">
                  <c:v>0.21153846153846154</c:v>
                </c:pt>
                <c:pt idx="1">
                  <c:v>0.18181818181818182</c:v>
                </c:pt>
                <c:pt idx="2">
                  <c:v>0.19839999999999999</c:v>
                </c:pt>
                <c:pt idx="3">
                  <c:v>0.18404351767905711</c:v>
                </c:pt>
                <c:pt idx="4">
                  <c:v>0.18744228993536471</c:v>
                </c:pt>
                <c:pt idx="5">
                  <c:v>0.19631901840490798</c:v>
                </c:pt>
                <c:pt idx="6">
                  <c:v>0.1864406779661017</c:v>
                </c:pt>
                <c:pt idx="7">
                  <c:v>0.18497109826589594</c:v>
                </c:pt>
                <c:pt idx="8">
                  <c:v>0.16831683168316833</c:v>
                </c:pt>
                <c:pt idx="9">
                  <c:v>0.19157608695652173</c:v>
                </c:pt>
                <c:pt idx="10">
                  <c:v>0.19230769230769232</c:v>
                </c:pt>
                <c:pt idx="11">
                  <c:v>0.17976318622174381</c:v>
                </c:pt>
                <c:pt idx="12">
                  <c:v>0.17464114832535885</c:v>
                </c:pt>
                <c:pt idx="13">
                  <c:v>0.15464895635673626</c:v>
                </c:pt>
                <c:pt idx="14">
                  <c:v>0.16133942161339421</c:v>
                </c:pt>
                <c:pt idx="15">
                  <c:v>0.18130577736026304</c:v>
                </c:pt>
                <c:pt idx="16">
                  <c:v>0.19383003492433062</c:v>
                </c:pt>
                <c:pt idx="17">
                  <c:v>0.19461077844311378</c:v>
                </c:pt>
                <c:pt idx="18">
                  <c:v>0.19376313945339874</c:v>
                </c:pt>
                <c:pt idx="19">
                  <c:v>0.16034527857703373</c:v>
                </c:pt>
                <c:pt idx="20">
                  <c:v>0.19548872180451127</c:v>
                </c:pt>
                <c:pt idx="21">
                  <c:v>0.234375</c:v>
                </c:pt>
                <c:pt idx="22">
                  <c:v>0.18840579710144928</c:v>
                </c:pt>
                <c:pt idx="23">
                  <c:v>0.1748768472906404</c:v>
                </c:pt>
                <c:pt idx="24">
                  <c:v>0.19230769230769232</c:v>
                </c:pt>
                <c:pt idx="25">
                  <c:v>0.2</c:v>
                </c:pt>
                <c:pt idx="26">
                  <c:v>0.18518518518518517</c:v>
                </c:pt>
                <c:pt idx="27">
                  <c:v>0.22580645161290322</c:v>
                </c:pt>
              </c:numCache>
            </c:numRef>
          </c:val>
          <c:smooth val="0"/>
          <c:extLst>
            <c:ext xmlns:c16="http://schemas.microsoft.com/office/drawing/2014/chart" uri="{C3380CC4-5D6E-409C-BE32-E72D297353CC}">
              <c16:uniqueId val="{00000000-FFA9-4637-84A9-9934B6144914}"/>
            </c:ext>
          </c:extLst>
        </c:ser>
        <c:ser>
          <c:idx val="1"/>
          <c:order val="1"/>
          <c:tx>
            <c:strRef>
              <c:f>'PivotTables and PivotCharts'!$R$35:$R$36</c:f>
              <c:strCache>
                <c:ptCount val="1"/>
                <c:pt idx="0">
                  <c:v>Low</c:v>
                </c:pt>
              </c:strCache>
            </c:strRef>
          </c:tx>
          <c:spPr>
            <a:ln w="28575" cap="rnd">
              <a:solidFill>
                <a:schemeClr val="accent2"/>
              </a:solidFill>
              <a:round/>
            </a:ln>
            <a:effectLst/>
          </c:spPr>
          <c:marker>
            <c:symbol val="none"/>
          </c:marker>
          <c:cat>
            <c:strRef>
              <c:f>'PivotTables and PivotCharts'!$P$37:$P$65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'PivotTables and PivotCharts'!$R$37:$R$65</c:f>
              <c:numCache>
                <c:formatCode>0.00%</c:formatCode>
                <c:ptCount val="28"/>
                <c:pt idx="0">
                  <c:v>6.7615658362989328E-2</c:v>
                </c:pt>
                <c:pt idx="1">
                  <c:v>0.10476190476190476</c:v>
                </c:pt>
                <c:pt idx="2">
                  <c:v>8.9921544960772481E-2</c:v>
                </c:pt>
                <c:pt idx="3">
                  <c:v>8.6046511627906982E-2</c:v>
                </c:pt>
                <c:pt idx="4">
                  <c:v>0.10077806595035198</c:v>
                </c:pt>
                <c:pt idx="5">
                  <c:v>9.2473118279569888E-2</c:v>
                </c:pt>
                <c:pt idx="6">
                  <c:v>7.3813708260105443E-2</c:v>
                </c:pt>
                <c:pt idx="7">
                  <c:v>7.8431372549019607E-2</c:v>
                </c:pt>
                <c:pt idx="8">
                  <c:v>9.1715976331360943E-2</c:v>
                </c:pt>
                <c:pt idx="9">
                  <c:v>5.3997923156801658E-2</c:v>
                </c:pt>
                <c:pt idx="10">
                  <c:v>0.10180995475113122</c:v>
                </c:pt>
                <c:pt idx="11">
                  <c:v>9.375E-2</c:v>
                </c:pt>
                <c:pt idx="12">
                  <c:v>8.4126984126984133E-2</c:v>
                </c:pt>
                <c:pt idx="13">
                  <c:v>9.6836049856184089E-2</c:v>
                </c:pt>
                <c:pt idx="14">
                  <c:v>7.7012835472578769E-2</c:v>
                </c:pt>
                <c:pt idx="15">
                  <c:v>8.6318758815232724E-2</c:v>
                </c:pt>
                <c:pt idx="16">
                  <c:v>0.10773545220845993</c:v>
                </c:pt>
                <c:pt idx="17">
                  <c:v>8.3135391923990498E-2</c:v>
                </c:pt>
                <c:pt idx="18">
                  <c:v>9.6078431372549025E-2</c:v>
                </c:pt>
                <c:pt idx="19">
                  <c:v>9.6266729279173513E-2</c:v>
                </c:pt>
                <c:pt idx="20">
                  <c:v>8.2125603864734303E-2</c:v>
                </c:pt>
                <c:pt idx="21">
                  <c:v>0.11220472440944881</c:v>
                </c:pt>
                <c:pt idx="22">
                  <c:v>9.3457943925233641E-2</c:v>
                </c:pt>
                <c:pt idx="23">
                  <c:v>7.4999999999999997E-2</c:v>
                </c:pt>
                <c:pt idx="24">
                  <c:v>9.0909090909090912E-2</c:v>
                </c:pt>
                <c:pt idx="25">
                  <c:v>8.7136929460580909E-2</c:v>
                </c:pt>
                <c:pt idx="26">
                  <c:v>4.6511627906976744E-2</c:v>
                </c:pt>
                <c:pt idx="27">
                  <c:v>8.4507042253521125E-2</c:v>
                </c:pt>
              </c:numCache>
            </c:numRef>
          </c:val>
          <c:smooth val="0"/>
          <c:extLst>
            <c:ext xmlns:c16="http://schemas.microsoft.com/office/drawing/2014/chart" uri="{C3380CC4-5D6E-409C-BE32-E72D297353CC}">
              <c16:uniqueId val="{00000001-03BE-40A7-BBA7-CDE2B830E9A1}"/>
            </c:ext>
          </c:extLst>
        </c:ser>
        <c:dLbls>
          <c:showLegendKey val="0"/>
          <c:showVal val="0"/>
          <c:showCatName val="0"/>
          <c:showSerName val="0"/>
          <c:showPercent val="0"/>
          <c:showBubbleSize val="0"/>
        </c:dLbls>
        <c:smooth val="0"/>
        <c:axId val="643272112"/>
        <c:axId val="643278592"/>
      </c:lineChart>
      <c:catAx>
        <c:axId val="643272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panose="02040604050505020304" pitchFamily="18" charset="0"/>
                <a:ea typeface="+mn-ea"/>
                <a:cs typeface="+mn-cs"/>
              </a:defRPr>
            </a:pPr>
            <a:endParaRPr lang="en-US"/>
          </a:p>
        </c:txPr>
        <c:crossAx val="643278592"/>
        <c:crosses val="autoZero"/>
        <c:auto val="1"/>
        <c:lblAlgn val="ctr"/>
        <c:lblOffset val="100"/>
        <c:noMultiLvlLbl val="0"/>
      </c:catAx>
      <c:valAx>
        <c:axId val="643278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4327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PivotCharts!PivotTable15</c:name>
    <c:fmtId val="3"/>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Customer</a:t>
            </a:r>
            <a:r>
              <a:rPr lang="en-US" sz="1100" b="1" baseline="0">
                <a:solidFill>
                  <a:schemeClr val="tx1"/>
                </a:solidFill>
                <a:latin typeface="Century" panose="02040604050505020304" pitchFamily="18" charset="0"/>
              </a:rPr>
              <a:t> Acquisition Cost by Campaign</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2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2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 and PivotCharts'!$M$88</c:f>
              <c:strCache>
                <c:ptCount val="1"/>
                <c:pt idx="0">
                  <c:v>Total</c:v>
                </c:pt>
              </c:strCache>
            </c:strRef>
          </c:tx>
          <c:spPr>
            <a:solidFill>
              <a:srgbClr val="0F21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PivotCharts'!$L$89:$L$100</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'PivotTables and PivotCharts'!$M$89:$M$100</c:f>
              <c:numCache>
                <c:formatCode>_ [$₹-4009]\ * #,##0_ ;_ [$₹-4009]\ * \-#,##0_ ;_ [$₹-4009]\ * "-"??_ ;_ @_ </c:formatCode>
                <c:ptCount val="11"/>
                <c:pt idx="0">
                  <c:v>3209.8817113665395</c:v>
                </c:pt>
                <c:pt idx="1">
                  <c:v>8986.1878911564618</c:v>
                </c:pt>
                <c:pt idx="2">
                  <c:v>2467.279814814814</c:v>
                </c:pt>
                <c:pt idx="3">
                  <c:v>5410.9567088607619</c:v>
                </c:pt>
                <c:pt idx="4">
                  <c:v>6822.4868749999996</c:v>
                </c:pt>
                <c:pt idx="5">
                  <c:v>4270.4582206405685</c:v>
                </c:pt>
                <c:pt idx="6">
                  <c:v>4132.3607129798911</c:v>
                </c:pt>
                <c:pt idx="7">
                  <c:v>3861.2432454545465</c:v>
                </c:pt>
                <c:pt idx="8">
                  <c:v>3384.2707783641167</c:v>
                </c:pt>
                <c:pt idx="9">
                  <c:v>3406.2420127795522</c:v>
                </c:pt>
                <c:pt idx="10">
                  <c:v>2120.1340177638453</c:v>
                </c:pt>
              </c:numCache>
            </c:numRef>
          </c:val>
          <c:extLst>
            <c:ext xmlns:c16="http://schemas.microsoft.com/office/drawing/2014/chart" uri="{C3380CC4-5D6E-409C-BE32-E72D297353CC}">
              <c16:uniqueId val="{00000000-B77E-480F-B732-12EAC299F29A}"/>
            </c:ext>
          </c:extLst>
        </c:ser>
        <c:dLbls>
          <c:dLblPos val="outEnd"/>
          <c:showLegendKey val="0"/>
          <c:showVal val="1"/>
          <c:showCatName val="0"/>
          <c:showSerName val="0"/>
          <c:showPercent val="0"/>
          <c:showBubbleSize val="0"/>
        </c:dLbls>
        <c:gapWidth val="182"/>
        <c:axId val="691420800"/>
        <c:axId val="691418640"/>
      </c:barChart>
      <c:catAx>
        <c:axId val="6914208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panose="02040604050505020304" pitchFamily="18" charset="0"/>
                <a:ea typeface="+mn-ea"/>
                <a:cs typeface="+mn-cs"/>
              </a:defRPr>
            </a:pPr>
            <a:endParaRPr lang="en-US"/>
          </a:p>
        </c:txPr>
        <c:crossAx val="691418640"/>
        <c:crosses val="autoZero"/>
        <c:auto val="1"/>
        <c:lblAlgn val="ctr"/>
        <c:lblOffset val="100"/>
        <c:noMultiLvlLbl val="0"/>
      </c:catAx>
      <c:valAx>
        <c:axId val="691418640"/>
        <c:scaling>
          <c:orientation val="minMax"/>
        </c:scaling>
        <c:delete val="1"/>
        <c:axPos val="b"/>
        <c:numFmt formatCode="_ [$₹-4009]\ * #,##0_ ;_ [$₹-4009]\ * \-#,##0_ ;_ [$₹-4009]\ * &quot;-&quot;??_ ;_ @_ " sourceLinked="1"/>
        <c:majorTickMark val="none"/>
        <c:minorTickMark val="none"/>
        <c:tickLblPos val="nextTo"/>
        <c:crossAx val="69142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[Marketing_Dataset.xlsx]PivotTables and PivotCharts!PivotTable16</c:name>
    <c:fmtId val="3"/>
  </c:pivotSource>
  <c:chart>
    <c:title>
      <c:tx>
        <c:rich>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r>
              <a:rPr lang="en-US" sz="1100" b="1">
                <a:solidFill>
                  <a:schemeClr val="tx1"/>
                </a:solidFill>
                <a:latin typeface="Century" panose="02040604050505020304" pitchFamily="18" charset="0"/>
              </a:rPr>
              <a:t>Revenue</a:t>
            </a:r>
            <a:r>
              <a:rPr lang="en-US" sz="1100" b="1" baseline="0">
                <a:solidFill>
                  <a:schemeClr val="tx1"/>
                </a:solidFill>
                <a:latin typeface="Century" panose="02040604050505020304" pitchFamily="18" charset="0"/>
              </a:rPr>
              <a:t> by Location Tier</a:t>
            </a:r>
            <a:endParaRPr lang="en-US" sz="1100" b="1">
              <a:solidFill>
                <a:schemeClr val="tx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Century"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2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 and PivotCharts'!$E$108</c:f>
              <c:strCache>
                <c:ptCount val="1"/>
                <c:pt idx="0">
                  <c:v>Total</c:v>
                </c:pt>
              </c:strCache>
            </c:strRef>
          </c:tx>
          <c:spPr>
            <a:solidFill>
              <a:srgbClr val="0F21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 and PivotCharts'!$D$109:$D$112</c:f>
              <c:strCache>
                <c:ptCount val="3"/>
                <c:pt idx="0">
                  <c:v>Not Applicable</c:v>
                </c:pt>
                <c:pt idx="1">
                  <c:v>Tier1</c:v>
                </c:pt>
                <c:pt idx="2">
                  <c:v>Tier2</c:v>
                </c:pt>
              </c:strCache>
            </c:strRef>
          </c:cat>
          <c:val>
            <c:numRef>
              <c:f>'PivotTables and PivotCharts'!$E$109:$E$112</c:f>
              <c:numCache>
                <c:formatCode>_ [$₹-4009]\ * #,##0_ ;_ [$₹-4009]\ * \-#,##0_ ;_ [$₹-4009]\ * "-"??_ ;_ @_ </c:formatCode>
                <c:ptCount val="3"/>
                <c:pt idx="0">
                  <c:v>31815064</c:v>
                </c:pt>
                <c:pt idx="1">
                  <c:v>6940536</c:v>
                </c:pt>
                <c:pt idx="2">
                  <c:v>4133766</c:v>
                </c:pt>
              </c:numCache>
            </c:numRef>
          </c:val>
          <c:extLst>
            <c:ext xmlns:c16="http://schemas.microsoft.com/office/drawing/2014/chart" uri="{C3380CC4-5D6E-409C-BE32-E72D297353CC}">
              <c16:uniqueId val="{00000000-2C07-4F65-BC63-16FCAB874BA4}"/>
            </c:ext>
          </c:extLst>
        </c:ser>
        <c:dLbls>
          <c:dLblPos val="outEnd"/>
          <c:showLegendKey val="0"/>
          <c:showVal val="1"/>
          <c:showCatName val="0"/>
          <c:showSerName val="0"/>
          <c:showPercent val="0"/>
          <c:showBubbleSize val="0"/>
        </c:dLbls>
        <c:gapWidth val="219"/>
        <c:overlap val="-27"/>
        <c:axId val="691417920"/>
        <c:axId val="691419000"/>
      </c:barChart>
      <c:catAx>
        <c:axId val="6914179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Century" panose="02040604050505020304" pitchFamily="18" charset="0"/>
                <a:ea typeface="+mn-ea"/>
                <a:cs typeface="+mn-cs"/>
              </a:defRPr>
            </a:pPr>
            <a:endParaRPr lang="en-US"/>
          </a:p>
        </c:txPr>
        <c:crossAx val="691419000"/>
        <c:crosses val="autoZero"/>
        <c:auto val="1"/>
        <c:lblAlgn val="ctr"/>
        <c:lblOffset val="100"/>
        <c:noMultiLvlLbl val="0"/>
      </c:catAx>
      <c:valAx>
        <c:axId val="691419000"/>
        <c:scaling>
          <c:orientation val="minMax"/>
        </c:scaling>
        <c:delete val="1"/>
        <c:axPos val="l"/>
        <c:numFmt formatCode="_ [$₹-4009]\ * #,##0_ ;_ [$₹-4009]\ * \-#,##0_ ;_ [$₹-4009]\ * &quot;-&quot;??_ ;_ @_ " sourceLinked="1"/>
        <c:majorTickMark val="none"/>
        <c:minorTickMark val="none"/>
        <c:tickLblPos val="nextTo"/>
        <c:crossAx val="69141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1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5.png"/><Relationship Id="rId5" Type="http://schemas.openxmlformats.org/officeDocument/2006/relationships/chart" Target="../charts/chart15.xml"/><Relationship Id="rId10" Type="http://schemas.openxmlformats.org/officeDocument/2006/relationships/image" Target="../media/image4.png"/><Relationship Id="rId4" Type="http://schemas.openxmlformats.org/officeDocument/2006/relationships/chart" Target="../charts/chart1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20</xdr:col>
      <xdr:colOff>1162050</xdr:colOff>
      <xdr:row>1</xdr:row>
      <xdr:rowOff>12700</xdr:rowOff>
    </xdr:from>
    <xdr:to>
      <xdr:col>21</xdr:col>
      <xdr:colOff>1822451</xdr:colOff>
      <xdr:row>8</xdr:row>
      <xdr:rowOff>133350</xdr:rowOff>
    </xdr:to>
    <mc:AlternateContent xmlns:mc="http://schemas.openxmlformats.org/markup-compatibility/2006">
      <mc:Choice xmlns:a14="http://schemas.microsoft.com/office/drawing/2010/main" Requires="a14">
        <xdr:graphicFrame macro="">
          <xdr:nvGraphicFramePr>
            <xdr:cNvPr id="3" name="Campaign_Type">
              <a:extLst>
                <a:ext uri="{FF2B5EF4-FFF2-40B4-BE49-F238E27FC236}">
                  <a16:creationId xmlns:a16="http://schemas.microsoft.com/office/drawing/2014/main" id="{AA96114C-86FE-D1CE-9ADC-235BF72E3C84}"/>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dr:sp macro="" textlink="">
          <xdr:nvSpPr>
            <xdr:cNvPr id="0" name=""/>
            <xdr:cNvSpPr>
              <a:spLocks noTextEdit="1"/>
            </xdr:cNvSpPr>
          </xdr:nvSpPr>
          <xdr:spPr>
            <a:xfrm>
              <a:off x="26240427" y="194129"/>
              <a:ext cx="183144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1</xdr:row>
      <xdr:rowOff>38100</xdr:rowOff>
    </xdr:from>
    <xdr:to>
      <xdr:col>19</xdr:col>
      <xdr:colOff>590550</xdr:colOff>
      <xdr:row>8</xdr:row>
      <xdr:rowOff>120650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48D67ABF-96E9-78A2-6189-5C6180BF8B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901808" y="219529"/>
              <a:ext cx="2796145"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57150</xdr:colOff>
      <xdr:row>68</xdr:row>
      <xdr:rowOff>146050</xdr:rowOff>
    </xdr:from>
    <xdr:to>
      <xdr:col>13</xdr:col>
      <xdr:colOff>355600</xdr:colOff>
      <xdr:row>79</xdr:row>
      <xdr:rowOff>44450</xdr:rowOff>
    </xdr:to>
    <xdr:graphicFrame macro="">
      <xdr:nvGraphicFramePr>
        <xdr:cNvPr id="5" name="Chart 4">
          <a:extLst>
            <a:ext uri="{FF2B5EF4-FFF2-40B4-BE49-F238E27FC236}">
              <a16:creationId xmlns:a16="http://schemas.microsoft.com/office/drawing/2014/main" id="{FC4CA4A2-7998-96BA-31B8-E575841BB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25400</xdr:colOff>
      <xdr:row>117</xdr:row>
      <xdr:rowOff>31750</xdr:rowOff>
    </xdr:from>
    <xdr:to>
      <xdr:col>14</xdr:col>
      <xdr:colOff>603250</xdr:colOff>
      <xdr:row>130</xdr:row>
      <xdr:rowOff>127000</xdr:rowOff>
    </xdr:to>
    <xdr:graphicFrame macro="">
      <xdr:nvGraphicFramePr>
        <xdr:cNvPr id="9" name="Chart 8">
          <a:extLst>
            <a:ext uri="{FF2B5EF4-FFF2-40B4-BE49-F238E27FC236}">
              <a16:creationId xmlns:a16="http://schemas.microsoft.com/office/drawing/2014/main" id="{CB2E213C-7F0B-4F8A-FC9C-F4344A822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9525</xdr:colOff>
      <xdr:row>10</xdr:row>
      <xdr:rowOff>0</xdr:rowOff>
    </xdr:from>
    <xdr:to>
      <xdr:col>18</xdr:col>
      <xdr:colOff>485775</xdr:colOff>
      <xdr:row>24</xdr:row>
      <xdr:rowOff>165100</xdr:rowOff>
    </xdr:to>
    <xdr:graphicFrame macro="">
      <xdr:nvGraphicFramePr>
        <xdr:cNvPr id="10" name="Chart 9">
          <a:extLst>
            <a:ext uri="{FF2B5EF4-FFF2-40B4-BE49-F238E27FC236}">
              <a16:creationId xmlns:a16="http://schemas.microsoft.com/office/drawing/2014/main" id="{C332DF54-4F2B-FDE9-F015-1C38CCF3F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390525</xdr:colOff>
      <xdr:row>29</xdr:row>
      <xdr:rowOff>82550</xdr:rowOff>
    </xdr:from>
    <xdr:to>
      <xdr:col>23</xdr:col>
      <xdr:colOff>631825</xdr:colOff>
      <xdr:row>44</xdr:row>
      <xdr:rowOff>63500</xdr:rowOff>
    </xdr:to>
    <xdr:graphicFrame macro="">
      <xdr:nvGraphicFramePr>
        <xdr:cNvPr id="12" name="Chart 11">
          <a:extLst>
            <a:ext uri="{FF2B5EF4-FFF2-40B4-BE49-F238E27FC236}">
              <a16:creationId xmlns:a16="http://schemas.microsoft.com/office/drawing/2014/main" id="{78AFEC4A-DCA2-7934-BA19-08E04E5FF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73025</xdr:colOff>
      <xdr:row>29</xdr:row>
      <xdr:rowOff>63500</xdr:rowOff>
    </xdr:from>
    <xdr:to>
      <xdr:col>30</xdr:col>
      <xdr:colOff>47625</xdr:colOff>
      <xdr:row>44</xdr:row>
      <xdr:rowOff>44450</xdr:rowOff>
    </xdr:to>
    <xdr:graphicFrame macro="">
      <xdr:nvGraphicFramePr>
        <xdr:cNvPr id="13" name="Chart 12">
          <a:extLst>
            <a:ext uri="{FF2B5EF4-FFF2-40B4-BE49-F238E27FC236}">
              <a16:creationId xmlns:a16="http://schemas.microsoft.com/office/drawing/2014/main" id="{CFB2891F-7EE2-B7F6-E262-E0AB174BC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28</xdr:row>
      <xdr:rowOff>133350</xdr:rowOff>
    </xdr:from>
    <xdr:to>
      <xdr:col>38</xdr:col>
      <xdr:colOff>371475</xdr:colOff>
      <xdr:row>43</xdr:row>
      <xdr:rowOff>114300</xdr:rowOff>
    </xdr:to>
    <xdr:graphicFrame macro="">
      <xdr:nvGraphicFramePr>
        <xdr:cNvPr id="14" name="Chart 13">
          <a:extLst>
            <a:ext uri="{FF2B5EF4-FFF2-40B4-BE49-F238E27FC236}">
              <a16:creationId xmlns:a16="http://schemas.microsoft.com/office/drawing/2014/main" id="{E034A701-2643-1EA6-683F-F3C2488D1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333375</xdr:colOff>
      <xdr:row>84</xdr:row>
      <xdr:rowOff>6350</xdr:rowOff>
    </xdr:from>
    <xdr:to>
      <xdr:col>22</xdr:col>
      <xdr:colOff>1343025</xdr:colOff>
      <xdr:row>98</xdr:row>
      <xdr:rowOff>171450</xdr:rowOff>
    </xdr:to>
    <xdr:graphicFrame macro="">
      <xdr:nvGraphicFramePr>
        <xdr:cNvPr id="15" name="Chart 14">
          <a:extLst>
            <a:ext uri="{FF2B5EF4-FFF2-40B4-BE49-F238E27FC236}">
              <a16:creationId xmlns:a16="http://schemas.microsoft.com/office/drawing/2014/main" id="{27483E45-71B7-1458-722C-6776B5048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34925</xdr:colOff>
      <xdr:row>84</xdr:row>
      <xdr:rowOff>19050</xdr:rowOff>
    </xdr:from>
    <xdr:to>
      <xdr:col>27</xdr:col>
      <xdr:colOff>288925</xdr:colOff>
      <xdr:row>99</xdr:row>
      <xdr:rowOff>0</xdr:rowOff>
    </xdr:to>
    <xdr:graphicFrame macro="">
      <xdr:nvGraphicFramePr>
        <xdr:cNvPr id="16" name="Chart 15">
          <a:extLst>
            <a:ext uri="{FF2B5EF4-FFF2-40B4-BE49-F238E27FC236}">
              <a16:creationId xmlns:a16="http://schemas.microsoft.com/office/drawing/2014/main" id="{98E0306D-C5BD-32E3-A6E5-8CC0E211E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314324</xdr:colOff>
      <xdr:row>83</xdr:row>
      <xdr:rowOff>107950</xdr:rowOff>
    </xdr:from>
    <xdr:to>
      <xdr:col>37</xdr:col>
      <xdr:colOff>368299</xdr:colOff>
      <xdr:row>98</xdr:row>
      <xdr:rowOff>88900</xdr:rowOff>
    </xdr:to>
    <xdr:graphicFrame macro="">
      <xdr:nvGraphicFramePr>
        <xdr:cNvPr id="17" name="Chart 16">
          <a:extLst>
            <a:ext uri="{FF2B5EF4-FFF2-40B4-BE49-F238E27FC236}">
              <a16:creationId xmlns:a16="http://schemas.microsoft.com/office/drawing/2014/main" id="{C7687A8C-5E82-6E9C-3993-512B55B22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333375</xdr:colOff>
      <xdr:row>101</xdr:row>
      <xdr:rowOff>38100</xdr:rowOff>
    </xdr:from>
    <xdr:to>
      <xdr:col>19</xdr:col>
      <xdr:colOff>85725</xdr:colOff>
      <xdr:row>116</xdr:row>
      <xdr:rowOff>19050</xdr:rowOff>
    </xdr:to>
    <xdr:graphicFrame macro="">
      <xdr:nvGraphicFramePr>
        <xdr:cNvPr id="18" name="Chart 17">
          <a:extLst>
            <a:ext uri="{FF2B5EF4-FFF2-40B4-BE49-F238E27FC236}">
              <a16:creationId xmlns:a16="http://schemas.microsoft.com/office/drawing/2014/main" id="{DCF05F8D-E7D5-BFA8-4EB4-C68C57ED6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76200</xdr:colOff>
      <xdr:row>0</xdr:row>
      <xdr:rowOff>101600</xdr:rowOff>
    </xdr:from>
    <xdr:to>
      <xdr:col>23</xdr:col>
      <xdr:colOff>742950</xdr:colOff>
      <xdr:row>8</xdr:row>
      <xdr:rowOff>57150</xdr:rowOff>
    </xdr:to>
    <mc:AlternateContent xmlns:mc="http://schemas.openxmlformats.org/markup-compatibility/2006">
      <mc:Choice xmlns:a14="http://schemas.microsoft.com/office/drawing/2010/main" Requires="a14">
        <xdr:graphicFrame macro="">
          <xdr:nvGraphicFramePr>
            <xdr:cNvPr id="6" name="Conversion2 (Grouped)">
              <a:extLst>
                <a:ext uri="{FF2B5EF4-FFF2-40B4-BE49-F238E27FC236}">
                  <a16:creationId xmlns:a16="http://schemas.microsoft.com/office/drawing/2014/main" id="{695A7929-96CF-4472-0D69-1A6F729D970E}"/>
                </a:ext>
              </a:extLst>
            </xdr:cNvPr>
            <xdr:cNvGraphicFramePr/>
          </xdr:nvGraphicFramePr>
          <xdr:xfrm>
            <a:off x="0" y="0"/>
            <a:ext cx="0" cy="0"/>
          </xdr:xfrm>
          <a:graphic>
            <a:graphicData uri="http://schemas.microsoft.com/office/drawing/2010/slicer">
              <sle:slicer xmlns:sle="http://schemas.microsoft.com/office/drawing/2010/slicer" name="Conversion2 (Grouped)"/>
            </a:graphicData>
          </a:graphic>
        </xdr:graphicFrame>
      </mc:Choice>
      <mc:Fallback>
        <xdr:sp macro="" textlink="">
          <xdr:nvSpPr>
            <xdr:cNvPr id="0" name=""/>
            <xdr:cNvSpPr>
              <a:spLocks noTextEdit="1"/>
            </xdr:cNvSpPr>
          </xdr:nvSpPr>
          <xdr:spPr>
            <a:xfrm>
              <a:off x="28618213" y="101600"/>
              <a:ext cx="1813049" cy="1406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222250</xdr:colOff>
      <xdr:row>0</xdr:row>
      <xdr:rowOff>101600</xdr:rowOff>
    </xdr:from>
    <xdr:to>
      <xdr:col>15</xdr:col>
      <xdr:colOff>1269999</xdr:colOff>
      <xdr:row>8</xdr:row>
      <xdr:rowOff>25400</xdr:rowOff>
    </xdr:to>
    <mc:AlternateContent xmlns:mc="http://schemas.openxmlformats.org/markup-compatibility/2006">
      <mc:Choice xmlns:a14="http://schemas.microsoft.com/office/drawing/2010/main" Requires="a14">
        <xdr:graphicFrame macro="">
          <xdr:nvGraphicFramePr>
            <xdr:cNvPr id="7" name="Week">
              <a:extLst>
                <a:ext uri="{FF2B5EF4-FFF2-40B4-BE49-F238E27FC236}">
                  <a16:creationId xmlns:a16="http://schemas.microsoft.com/office/drawing/2014/main" id="{81FE295F-BE54-162C-753E-9E38D78263EF}"/>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dr:sp macro="" textlink="">
          <xdr:nvSpPr>
            <xdr:cNvPr id="0" name=""/>
            <xdr:cNvSpPr>
              <a:spLocks noTextEdit="1"/>
            </xdr:cNvSpPr>
          </xdr:nvSpPr>
          <xdr:spPr>
            <a:xfrm>
              <a:off x="18686731" y="101600"/>
              <a:ext cx="1831190" cy="1375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211666</xdr:colOff>
      <xdr:row>6</xdr:row>
      <xdr:rowOff>44450</xdr:rowOff>
    </xdr:from>
    <xdr:to>
      <xdr:col>34</xdr:col>
      <xdr:colOff>501649</xdr:colOff>
      <xdr:row>57</xdr:row>
      <xdr:rowOff>146050</xdr:rowOff>
    </xdr:to>
    <xdr:sp macro="" textlink="">
      <xdr:nvSpPr>
        <xdr:cNvPr id="2" name="Rectangle 1">
          <a:extLst>
            <a:ext uri="{FF2B5EF4-FFF2-40B4-BE49-F238E27FC236}">
              <a16:creationId xmlns:a16="http://schemas.microsoft.com/office/drawing/2014/main" id="{AE697DDD-5148-9E5E-658E-BDE814DDAE01}"/>
            </a:ext>
          </a:extLst>
        </xdr:cNvPr>
        <xdr:cNvSpPr/>
      </xdr:nvSpPr>
      <xdr:spPr>
        <a:xfrm>
          <a:off x="2657592" y="1173339"/>
          <a:ext cx="18634427" cy="9697155"/>
        </a:xfrm>
        <a:prstGeom prst="rect">
          <a:avLst/>
        </a:prstGeom>
        <a:solidFill>
          <a:schemeClr val="bg1"/>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126998</xdr:colOff>
      <xdr:row>7</xdr:row>
      <xdr:rowOff>88902</xdr:rowOff>
    </xdr:from>
    <xdr:to>
      <xdr:col>34</xdr:col>
      <xdr:colOff>351520</xdr:colOff>
      <xdr:row>19</xdr:row>
      <xdr:rowOff>125184</xdr:rowOff>
    </xdr:to>
    <xdr:sp macro="" textlink="">
      <xdr:nvSpPr>
        <xdr:cNvPr id="26" name="Flowchart: Delay 25">
          <a:extLst>
            <a:ext uri="{FF2B5EF4-FFF2-40B4-BE49-F238E27FC236}">
              <a16:creationId xmlns:a16="http://schemas.microsoft.com/office/drawing/2014/main" id="{21D86355-B692-70D6-809E-665B2A3E7220}"/>
            </a:ext>
          </a:extLst>
        </xdr:cNvPr>
        <xdr:cNvSpPr/>
      </xdr:nvSpPr>
      <xdr:spPr>
        <a:xfrm rot="5400000">
          <a:off x="11072814" y="-6525307"/>
          <a:ext cx="2213425" cy="17981844"/>
        </a:xfrm>
        <a:custGeom>
          <a:avLst/>
          <a:gdLst>
            <a:gd name="csX0" fmla="*/ 0 w 860426"/>
            <a:gd name="csY0" fmla="*/ 0 h 8115302"/>
            <a:gd name="csX1" fmla="*/ 430213 w 860426"/>
            <a:gd name="csY1" fmla="*/ 0 h 8115302"/>
            <a:gd name="csX2" fmla="*/ 860426 w 860426"/>
            <a:gd name="csY2" fmla="*/ 4057651 h 8115302"/>
            <a:gd name="csX3" fmla="*/ 430213 w 860426"/>
            <a:gd name="csY3" fmla="*/ 8115302 h 8115302"/>
            <a:gd name="csX4" fmla="*/ 0 w 860426"/>
            <a:gd name="csY4" fmla="*/ 8115302 h 8115302"/>
            <a:gd name="csX5" fmla="*/ 0 w 860426"/>
            <a:gd name="csY5" fmla="*/ 0 h 8115302"/>
            <a:gd name="csX0" fmla="*/ 0 w 864037"/>
            <a:gd name="csY0" fmla="*/ 0 h 8115302"/>
            <a:gd name="csX1" fmla="*/ 430213 w 864037"/>
            <a:gd name="csY1" fmla="*/ 0 h 8115302"/>
            <a:gd name="csX2" fmla="*/ 219073 w 864037"/>
            <a:gd name="csY2" fmla="*/ 1784353 h 8115302"/>
            <a:gd name="csX3" fmla="*/ 860426 w 864037"/>
            <a:gd name="csY3" fmla="*/ 4057651 h 8115302"/>
            <a:gd name="csX4" fmla="*/ 430213 w 864037"/>
            <a:gd name="csY4" fmla="*/ 8115302 h 8115302"/>
            <a:gd name="csX5" fmla="*/ 0 w 864037"/>
            <a:gd name="csY5" fmla="*/ 8115302 h 8115302"/>
            <a:gd name="csX6" fmla="*/ 0 w 864037"/>
            <a:gd name="csY6" fmla="*/ 0 h 8115302"/>
            <a:gd name="csX0" fmla="*/ 0 w 895677"/>
            <a:gd name="csY0" fmla="*/ 0 h 8115302"/>
            <a:gd name="csX1" fmla="*/ 430213 w 895677"/>
            <a:gd name="csY1" fmla="*/ 0 h 8115302"/>
            <a:gd name="csX2" fmla="*/ 219073 w 895677"/>
            <a:gd name="csY2" fmla="*/ 1784353 h 8115302"/>
            <a:gd name="csX3" fmla="*/ 860426 w 895677"/>
            <a:gd name="csY3" fmla="*/ 4057651 h 8115302"/>
            <a:gd name="csX4" fmla="*/ 771525 w 895677"/>
            <a:gd name="csY4" fmla="*/ 7531103 h 8115302"/>
            <a:gd name="csX5" fmla="*/ 430213 w 895677"/>
            <a:gd name="csY5" fmla="*/ 8115302 h 8115302"/>
            <a:gd name="csX6" fmla="*/ 0 w 895677"/>
            <a:gd name="csY6" fmla="*/ 8115302 h 8115302"/>
            <a:gd name="csX7" fmla="*/ 0 w 895677"/>
            <a:gd name="csY7" fmla="*/ 0 h 8115302"/>
            <a:gd name="csX0" fmla="*/ 0 w 887127"/>
            <a:gd name="csY0" fmla="*/ 0 h 8115302"/>
            <a:gd name="csX1" fmla="*/ 430213 w 887127"/>
            <a:gd name="csY1" fmla="*/ 0 h 8115302"/>
            <a:gd name="csX2" fmla="*/ 338238 w 887127"/>
            <a:gd name="csY2" fmla="*/ 1725187 h 8115302"/>
            <a:gd name="csX3" fmla="*/ 860426 w 887127"/>
            <a:gd name="csY3" fmla="*/ 4057651 h 8115302"/>
            <a:gd name="csX4" fmla="*/ 771525 w 887127"/>
            <a:gd name="csY4" fmla="*/ 7531103 h 8115302"/>
            <a:gd name="csX5" fmla="*/ 430213 w 887127"/>
            <a:gd name="csY5" fmla="*/ 8115302 h 8115302"/>
            <a:gd name="csX6" fmla="*/ 0 w 887127"/>
            <a:gd name="csY6" fmla="*/ 8115302 h 8115302"/>
            <a:gd name="csX7" fmla="*/ 0 w 887127"/>
            <a:gd name="csY7" fmla="*/ 0 h 8115302"/>
            <a:gd name="csX0" fmla="*/ 0 w 882156"/>
            <a:gd name="csY0" fmla="*/ 0 h 8115302"/>
            <a:gd name="csX1" fmla="*/ 430213 w 882156"/>
            <a:gd name="csY1" fmla="*/ 0 h 8115302"/>
            <a:gd name="csX2" fmla="*/ 408336 w 882156"/>
            <a:gd name="csY2" fmla="*/ 1666023 h 8115302"/>
            <a:gd name="csX3" fmla="*/ 860426 w 882156"/>
            <a:gd name="csY3" fmla="*/ 4057651 h 8115302"/>
            <a:gd name="csX4" fmla="*/ 771525 w 882156"/>
            <a:gd name="csY4" fmla="*/ 7531103 h 8115302"/>
            <a:gd name="csX5" fmla="*/ 430213 w 882156"/>
            <a:gd name="csY5" fmla="*/ 8115302 h 8115302"/>
            <a:gd name="csX6" fmla="*/ 0 w 882156"/>
            <a:gd name="csY6" fmla="*/ 8115302 h 8115302"/>
            <a:gd name="csX7" fmla="*/ 0 w 882156"/>
            <a:gd name="csY7" fmla="*/ 0 h 8115302"/>
            <a:gd name="csX0" fmla="*/ 0 w 878714"/>
            <a:gd name="csY0" fmla="*/ 0 h 8115302"/>
            <a:gd name="csX1" fmla="*/ 430213 w 878714"/>
            <a:gd name="csY1" fmla="*/ 0 h 8115302"/>
            <a:gd name="csX2" fmla="*/ 457404 w 878714"/>
            <a:gd name="csY2" fmla="*/ 1557556 h 8115302"/>
            <a:gd name="csX3" fmla="*/ 860426 w 878714"/>
            <a:gd name="csY3" fmla="*/ 4057651 h 8115302"/>
            <a:gd name="csX4" fmla="*/ 771525 w 878714"/>
            <a:gd name="csY4" fmla="*/ 7531103 h 8115302"/>
            <a:gd name="csX5" fmla="*/ 430213 w 878714"/>
            <a:gd name="csY5" fmla="*/ 8115302 h 8115302"/>
            <a:gd name="csX6" fmla="*/ 0 w 878714"/>
            <a:gd name="csY6" fmla="*/ 8115302 h 8115302"/>
            <a:gd name="csX7" fmla="*/ 0 w 878714"/>
            <a:gd name="csY7" fmla="*/ 0 h 811530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878714" h="8115302">
              <a:moveTo>
                <a:pt x="0" y="0"/>
              </a:moveTo>
              <a:lnTo>
                <a:pt x="430213" y="0"/>
              </a:lnTo>
              <a:cubicBezTo>
                <a:pt x="553508" y="227542"/>
                <a:pt x="385702" y="881281"/>
                <a:pt x="457404" y="1557556"/>
              </a:cubicBezTo>
              <a:cubicBezTo>
                <a:pt x="529106" y="2233831"/>
                <a:pt x="808073" y="3062060"/>
                <a:pt x="860426" y="4057651"/>
              </a:cubicBezTo>
              <a:cubicBezTo>
                <a:pt x="912779" y="5053242"/>
                <a:pt x="843227" y="6854828"/>
                <a:pt x="771525" y="7531103"/>
              </a:cubicBezTo>
              <a:cubicBezTo>
                <a:pt x="699823" y="8207378"/>
                <a:pt x="516467" y="8099427"/>
                <a:pt x="430213" y="8115302"/>
              </a:cubicBezTo>
              <a:lnTo>
                <a:pt x="0" y="8115302"/>
              </a:lnTo>
              <a:lnTo>
                <a:pt x="0" y="0"/>
              </a:lnTo>
              <a:close/>
            </a:path>
          </a:pathLst>
        </a:custGeom>
        <a:solidFill>
          <a:srgbClr val="0000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133350</xdr:colOff>
      <xdr:row>11</xdr:row>
      <xdr:rowOff>34472</xdr:rowOff>
    </xdr:from>
    <xdr:to>
      <xdr:col>34</xdr:col>
      <xdr:colOff>323850</xdr:colOff>
      <xdr:row>55</xdr:row>
      <xdr:rowOff>158750</xdr:rowOff>
    </xdr:to>
    <xdr:sp macro="" textlink="">
      <xdr:nvSpPr>
        <xdr:cNvPr id="27" name="Rectangle: Single Corner Rounded 26">
          <a:extLst>
            <a:ext uri="{FF2B5EF4-FFF2-40B4-BE49-F238E27FC236}">
              <a16:creationId xmlns:a16="http://schemas.microsoft.com/office/drawing/2014/main" id="{DFBFA8F6-2158-750B-28AF-B81A5D743C5D}"/>
            </a:ext>
          </a:extLst>
        </xdr:cNvPr>
        <xdr:cNvSpPr/>
      </xdr:nvSpPr>
      <xdr:spPr>
        <a:xfrm flipH="1">
          <a:off x="18502993" y="2030186"/>
          <a:ext cx="2639786" cy="8107135"/>
        </a:xfrm>
        <a:prstGeom prst="round1Rect">
          <a:avLst/>
        </a:prstGeom>
        <a:solidFill>
          <a:schemeClr val="bg1"/>
        </a:solidFill>
        <a:ln w="38100">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13</xdr:row>
      <xdr:rowOff>146049</xdr:rowOff>
    </xdr:from>
    <xdr:to>
      <xdr:col>9</xdr:col>
      <xdr:colOff>0</xdr:colOff>
      <xdr:row>19</xdr:row>
      <xdr:rowOff>164629</xdr:rowOff>
    </xdr:to>
    <xdr:sp macro="" textlink="">
      <xdr:nvSpPr>
        <xdr:cNvPr id="28" name="Rectangle: Rounded Corners 27">
          <a:extLst>
            <a:ext uri="{FF2B5EF4-FFF2-40B4-BE49-F238E27FC236}">
              <a16:creationId xmlns:a16="http://schemas.microsoft.com/office/drawing/2014/main" id="{05976064-D134-257E-66D5-140C28CF0038}"/>
            </a:ext>
          </a:extLst>
        </xdr:cNvPr>
        <xdr:cNvSpPr/>
      </xdr:nvSpPr>
      <xdr:spPr>
        <a:xfrm>
          <a:off x="3381257" y="2591975"/>
          <a:ext cx="2122076" cy="1147469"/>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215900</xdr:colOff>
      <xdr:row>13</xdr:row>
      <xdr:rowOff>146050</xdr:rowOff>
    </xdr:from>
    <xdr:to>
      <xdr:col>12</xdr:col>
      <xdr:colOff>577850</xdr:colOff>
      <xdr:row>20</xdr:row>
      <xdr:rowOff>9071</xdr:rowOff>
    </xdr:to>
    <xdr:sp macro="" textlink="">
      <xdr:nvSpPr>
        <xdr:cNvPr id="29" name="Rectangle: Rounded Corners 28">
          <a:extLst>
            <a:ext uri="{FF2B5EF4-FFF2-40B4-BE49-F238E27FC236}">
              <a16:creationId xmlns:a16="http://schemas.microsoft.com/office/drawing/2014/main" id="{933857F8-75DE-C465-D06A-DC60CA97E2AD}"/>
            </a:ext>
          </a:extLst>
        </xdr:cNvPr>
        <xdr:cNvSpPr/>
      </xdr:nvSpPr>
      <xdr:spPr>
        <a:xfrm>
          <a:off x="5726793" y="2504621"/>
          <a:ext cx="2198914" cy="1133021"/>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273050</xdr:colOff>
      <xdr:row>13</xdr:row>
      <xdr:rowOff>146050</xdr:rowOff>
    </xdr:from>
    <xdr:to>
      <xdr:col>17</xdr:col>
      <xdr:colOff>152400</xdr:colOff>
      <xdr:row>20</xdr:row>
      <xdr:rowOff>50800</xdr:rowOff>
    </xdr:to>
    <xdr:sp macro="" textlink="">
      <xdr:nvSpPr>
        <xdr:cNvPr id="30" name="Rectangle: Rounded Corners 29">
          <a:extLst>
            <a:ext uri="{FF2B5EF4-FFF2-40B4-BE49-F238E27FC236}">
              <a16:creationId xmlns:a16="http://schemas.microsoft.com/office/drawing/2014/main" id="{9CFFC566-C358-130E-2518-1BE7C09EA235}"/>
            </a:ext>
          </a:extLst>
        </xdr:cNvPr>
        <xdr:cNvSpPr/>
      </xdr:nvSpPr>
      <xdr:spPr>
        <a:xfrm>
          <a:off x="8233229" y="2504621"/>
          <a:ext cx="2328635" cy="1174750"/>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501650</xdr:colOff>
      <xdr:row>13</xdr:row>
      <xdr:rowOff>146050</xdr:rowOff>
    </xdr:from>
    <xdr:to>
      <xdr:col>21</xdr:col>
      <xdr:colOff>184150</xdr:colOff>
      <xdr:row>20</xdr:row>
      <xdr:rowOff>31750</xdr:rowOff>
    </xdr:to>
    <xdr:sp macro="" textlink="">
      <xdr:nvSpPr>
        <xdr:cNvPr id="31" name="Rectangle: Rounded Corners 30">
          <a:extLst>
            <a:ext uri="{FF2B5EF4-FFF2-40B4-BE49-F238E27FC236}">
              <a16:creationId xmlns:a16="http://schemas.microsoft.com/office/drawing/2014/main" id="{2465733D-192A-31C4-654C-978B767BD2A2}"/>
            </a:ext>
          </a:extLst>
        </xdr:cNvPr>
        <xdr:cNvSpPr/>
      </xdr:nvSpPr>
      <xdr:spPr>
        <a:xfrm>
          <a:off x="10911114" y="2504621"/>
          <a:ext cx="2131786" cy="1155700"/>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482600</xdr:colOff>
      <xdr:row>13</xdr:row>
      <xdr:rowOff>146050</xdr:rowOff>
    </xdr:from>
    <xdr:to>
      <xdr:col>25</xdr:col>
      <xdr:colOff>101600</xdr:colOff>
      <xdr:row>20</xdr:row>
      <xdr:rowOff>31750</xdr:rowOff>
    </xdr:to>
    <xdr:sp macro="" textlink="">
      <xdr:nvSpPr>
        <xdr:cNvPr id="32" name="Rectangle: Rounded Corners 31">
          <a:extLst>
            <a:ext uri="{FF2B5EF4-FFF2-40B4-BE49-F238E27FC236}">
              <a16:creationId xmlns:a16="http://schemas.microsoft.com/office/drawing/2014/main" id="{64724B9F-D783-87B7-AE82-BA638CA76C7C}"/>
            </a:ext>
          </a:extLst>
        </xdr:cNvPr>
        <xdr:cNvSpPr/>
      </xdr:nvSpPr>
      <xdr:spPr>
        <a:xfrm>
          <a:off x="13341350" y="2504621"/>
          <a:ext cx="2068286" cy="1155700"/>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450850</xdr:colOff>
      <xdr:row>13</xdr:row>
      <xdr:rowOff>146050</xdr:rowOff>
    </xdr:from>
    <xdr:to>
      <xdr:col>29</xdr:col>
      <xdr:colOff>273050</xdr:colOff>
      <xdr:row>19</xdr:row>
      <xdr:rowOff>171450</xdr:rowOff>
    </xdr:to>
    <xdr:sp macro="" textlink="">
      <xdr:nvSpPr>
        <xdr:cNvPr id="33" name="Rectangle: Rounded Corners 32">
          <a:extLst>
            <a:ext uri="{FF2B5EF4-FFF2-40B4-BE49-F238E27FC236}">
              <a16:creationId xmlns:a16="http://schemas.microsoft.com/office/drawing/2014/main" id="{55A5C2ED-9F09-A1DF-60EC-E89775CDCBAC}"/>
            </a:ext>
          </a:extLst>
        </xdr:cNvPr>
        <xdr:cNvSpPr/>
      </xdr:nvSpPr>
      <xdr:spPr>
        <a:xfrm>
          <a:off x="15758886" y="2504621"/>
          <a:ext cx="2271485" cy="1113972"/>
        </a:xfrm>
        <a:prstGeom prst="roundRect">
          <a:avLst>
            <a:gd name="adj" fmla="val 16949"/>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323850</xdr:colOff>
      <xdr:row>21</xdr:row>
      <xdr:rowOff>38100</xdr:rowOff>
    </xdr:from>
    <xdr:to>
      <xdr:col>12</xdr:col>
      <xdr:colOff>540926</xdr:colOff>
      <xdr:row>37</xdr:row>
      <xdr:rowOff>50800</xdr:rowOff>
    </xdr:to>
    <xdr:sp macro="" textlink="">
      <xdr:nvSpPr>
        <xdr:cNvPr id="34" name="Rectangle: Rounded Corners 33">
          <a:extLst>
            <a:ext uri="{FF2B5EF4-FFF2-40B4-BE49-F238E27FC236}">
              <a16:creationId xmlns:a16="http://schemas.microsoft.com/office/drawing/2014/main" id="{A19441EB-5419-7FE1-4239-A442AEC0F21D}"/>
            </a:ext>
          </a:extLst>
        </xdr:cNvPr>
        <xdr:cNvSpPr/>
      </xdr:nvSpPr>
      <xdr:spPr>
        <a:xfrm>
          <a:off x="3381257" y="3989211"/>
          <a:ext cx="4497447" cy="3023070"/>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431800</xdr:colOff>
      <xdr:row>22</xdr:row>
      <xdr:rowOff>38100</xdr:rowOff>
    </xdr:from>
    <xdr:to>
      <xdr:col>12</xdr:col>
      <xdr:colOff>482600</xdr:colOff>
      <xdr:row>33</xdr:row>
      <xdr:rowOff>101600</xdr:rowOff>
    </xdr:to>
    <xdr:graphicFrame macro="">
      <xdr:nvGraphicFramePr>
        <xdr:cNvPr id="35" name="Chart 34">
          <a:extLst>
            <a:ext uri="{FF2B5EF4-FFF2-40B4-BE49-F238E27FC236}">
              <a16:creationId xmlns:a16="http://schemas.microsoft.com/office/drawing/2014/main" id="{40E4BB95-43C9-4265-B980-756A65887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431800</xdr:colOff>
      <xdr:row>34</xdr:row>
      <xdr:rowOff>25400</xdr:rowOff>
    </xdr:from>
    <xdr:to>
      <xdr:col>12</xdr:col>
      <xdr:colOff>323850</xdr:colOff>
      <xdr:row>36</xdr:row>
      <xdr:rowOff>133350</xdr:rowOff>
    </xdr:to>
    <xdr:sp macro="" textlink="">
      <xdr:nvSpPr>
        <xdr:cNvPr id="36" name="TextBox 35">
          <a:extLst>
            <a:ext uri="{FF2B5EF4-FFF2-40B4-BE49-F238E27FC236}">
              <a16:creationId xmlns:a16="http://schemas.microsoft.com/office/drawing/2014/main" id="{510FF8B2-06C0-8C71-EA25-847655C30682}"/>
            </a:ext>
          </a:extLst>
        </xdr:cNvPr>
        <xdr:cNvSpPr txBox="1"/>
      </xdr:nvSpPr>
      <xdr:spPr>
        <a:xfrm>
          <a:off x="3479800" y="6286500"/>
          <a:ext cx="41592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Calibri Light" panose="020F0302020204030204" pitchFamily="34" charset="0"/>
              <a:ea typeface="Calibri Light" panose="020F0302020204030204" pitchFamily="34" charset="0"/>
              <a:cs typeface="Calibri Light" panose="020F0302020204030204" pitchFamily="34" charset="0"/>
            </a:rPr>
            <a:t>Influencer marketing generated the highest revenue, followed by social media campaigns. Media and Search contributed comparatively lower revenue, suggesting that influencer partnerships produced the strongest overall financial returns during the analysis period.</a:t>
          </a:r>
        </a:p>
        <a:p>
          <a:endParaRPr lang="en-US" sz="800" b="1">
            <a:solidFill>
              <a:schemeClr val="tx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5</xdr:col>
      <xdr:colOff>336550</xdr:colOff>
      <xdr:row>38</xdr:row>
      <xdr:rowOff>44450</xdr:rowOff>
    </xdr:from>
    <xdr:to>
      <xdr:col>12</xdr:col>
      <xdr:colOff>590550</xdr:colOff>
      <xdr:row>55</xdr:row>
      <xdr:rowOff>158750</xdr:rowOff>
    </xdr:to>
    <xdr:sp macro="" textlink="">
      <xdr:nvSpPr>
        <xdr:cNvPr id="37" name="Rectangle: Rounded Corners 36">
          <a:extLst>
            <a:ext uri="{FF2B5EF4-FFF2-40B4-BE49-F238E27FC236}">
              <a16:creationId xmlns:a16="http://schemas.microsoft.com/office/drawing/2014/main" id="{445D5F4A-6C85-4F0C-A69D-61907E379765}"/>
            </a:ext>
          </a:extLst>
        </xdr:cNvPr>
        <xdr:cNvSpPr/>
      </xdr:nvSpPr>
      <xdr:spPr>
        <a:xfrm>
          <a:off x="3398157" y="6938736"/>
          <a:ext cx="4540250" cy="3198585"/>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38</xdr:row>
      <xdr:rowOff>107950</xdr:rowOff>
    </xdr:from>
    <xdr:to>
      <xdr:col>12</xdr:col>
      <xdr:colOff>514350</xdr:colOff>
      <xdr:row>52</xdr:row>
      <xdr:rowOff>19050</xdr:rowOff>
    </xdr:to>
    <xdr:graphicFrame macro="">
      <xdr:nvGraphicFramePr>
        <xdr:cNvPr id="39" name="Chart 38">
          <a:extLst>
            <a:ext uri="{FF2B5EF4-FFF2-40B4-BE49-F238E27FC236}">
              <a16:creationId xmlns:a16="http://schemas.microsoft.com/office/drawing/2014/main" id="{D7E63730-389F-4E14-A113-DEA73F4DD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387350</xdr:colOff>
      <xdr:row>52</xdr:row>
      <xdr:rowOff>88900</xdr:rowOff>
    </xdr:from>
    <xdr:to>
      <xdr:col>12</xdr:col>
      <xdr:colOff>533400</xdr:colOff>
      <xdr:row>55</xdr:row>
      <xdr:rowOff>0</xdr:rowOff>
    </xdr:to>
    <xdr:sp macro="" textlink="">
      <xdr:nvSpPr>
        <xdr:cNvPr id="40" name="TextBox 39">
          <a:extLst>
            <a:ext uri="{FF2B5EF4-FFF2-40B4-BE49-F238E27FC236}">
              <a16:creationId xmlns:a16="http://schemas.microsoft.com/office/drawing/2014/main" id="{1B74F667-1375-8F01-2E09-B5BB0FA12438}"/>
            </a:ext>
          </a:extLst>
        </xdr:cNvPr>
        <xdr:cNvSpPr txBox="1"/>
      </xdr:nvSpPr>
      <xdr:spPr>
        <a:xfrm>
          <a:off x="3435350" y="9664700"/>
          <a:ext cx="44132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Youtube</a:t>
          </a:r>
          <a:r>
            <a:rPr lang="en-US" sz="800" b="1" baseline="0">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 </a:t>
          </a:r>
          <a:r>
            <a:rPr lang="en-US" sz="800" b="1">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Blogger delivered the highest campaign revenue, significantly outperforming the remaining campaigns. This indicates that blogger and influencer-focused campaigns were the most effective revenue drivers.</a:t>
          </a:r>
          <a:endParaRPr lang="en-US" sz="800">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endParaRPr>
        </a:p>
        <a:p>
          <a:endParaRPr lang="en-US" sz="800">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13</xdr:col>
      <xdr:colOff>190500</xdr:colOff>
      <xdr:row>38</xdr:row>
      <xdr:rowOff>6350</xdr:rowOff>
    </xdr:from>
    <xdr:to>
      <xdr:col>21</xdr:col>
      <xdr:colOff>260350</xdr:colOff>
      <xdr:row>55</xdr:row>
      <xdr:rowOff>158750</xdr:rowOff>
    </xdr:to>
    <xdr:sp macro="" textlink="">
      <xdr:nvSpPr>
        <xdr:cNvPr id="41" name="Rectangle: Rounded Corners 40">
          <a:extLst>
            <a:ext uri="{FF2B5EF4-FFF2-40B4-BE49-F238E27FC236}">
              <a16:creationId xmlns:a16="http://schemas.microsoft.com/office/drawing/2014/main" id="{BE494597-9001-4B42-BCB6-96BFC5F385C0}"/>
            </a:ext>
          </a:extLst>
        </xdr:cNvPr>
        <xdr:cNvSpPr/>
      </xdr:nvSpPr>
      <xdr:spPr>
        <a:xfrm>
          <a:off x="8150679" y="6900636"/>
          <a:ext cx="4968421" cy="3236685"/>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184150</xdr:colOff>
      <xdr:row>38</xdr:row>
      <xdr:rowOff>50800</xdr:rowOff>
    </xdr:from>
    <xdr:to>
      <xdr:col>21</xdr:col>
      <xdr:colOff>215900</xdr:colOff>
      <xdr:row>52</xdr:row>
      <xdr:rowOff>19050</xdr:rowOff>
    </xdr:to>
    <xdr:graphicFrame macro="">
      <xdr:nvGraphicFramePr>
        <xdr:cNvPr id="43" name="Chart 42">
          <a:extLst>
            <a:ext uri="{FF2B5EF4-FFF2-40B4-BE49-F238E27FC236}">
              <a16:creationId xmlns:a16="http://schemas.microsoft.com/office/drawing/2014/main" id="{3E28A26E-D95C-4F77-B1F4-3EAC9B10E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247650</xdr:colOff>
      <xdr:row>52</xdr:row>
      <xdr:rowOff>101600</xdr:rowOff>
    </xdr:from>
    <xdr:to>
      <xdr:col>21</xdr:col>
      <xdr:colOff>177800</xdr:colOff>
      <xdr:row>55</xdr:row>
      <xdr:rowOff>19050</xdr:rowOff>
    </xdr:to>
    <xdr:sp macro="" textlink="">
      <xdr:nvSpPr>
        <xdr:cNvPr id="44" name="TextBox 43">
          <a:extLst>
            <a:ext uri="{FF2B5EF4-FFF2-40B4-BE49-F238E27FC236}">
              <a16:creationId xmlns:a16="http://schemas.microsoft.com/office/drawing/2014/main" id="{59E82A8B-17AD-2721-4F9C-4F8BAA8A22D8}"/>
            </a:ext>
          </a:extLst>
        </xdr:cNvPr>
        <xdr:cNvSpPr txBox="1"/>
      </xdr:nvSpPr>
      <xdr:spPr>
        <a:xfrm>
          <a:off x="8172450" y="9677400"/>
          <a:ext cx="48069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tx1"/>
              </a:solidFill>
              <a:effectLst/>
              <a:latin typeface="Calibri Light" panose="020F0302020204030204" pitchFamily="34" charset="0"/>
              <a:ea typeface="Calibri Light" panose="020F0302020204030204" pitchFamily="34" charset="0"/>
              <a:cs typeface="Calibri Light" panose="020F0302020204030204" pitchFamily="34" charset="0"/>
            </a:rPr>
            <a:t>Marketing expenditure fluctuated throughout the period, with spending peaking around the middle of the campaign before declining sharply toward the end. This suggests periods of aggressive investment followed by budget reduction.</a:t>
          </a:r>
        </a:p>
        <a:p>
          <a:endParaRPr lang="en-US" sz="800" b="1">
            <a:solidFill>
              <a:schemeClr val="tx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13</xdr:col>
      <xdr:colOff>141111</xdr:colOff>
      <xdr:row>21</xdr:row>
      <xdr:rowOff>57150</xdr:rowOff>
    </xdr:from>
    <xdr:to>
      <xdr:col>21</xdr:col>
      <xdr:colOff>215900</xdr:colOff>
      <xdr:row>37</xdr:row>
      <xdr:rowOff>50800</xdr:rowOff>
    </xdr:to>
    <xdr:sp macro="" textlink="">
      <xdr:nvSpPr>
        <xdr:cNvPr id="45" name="Rectangle: Rounded Corners 44">
          <a:extLst>
            <a:ext uri="{FF2B5EF4-FFF2-40B4-BE49-F238E27FC236}">
              <a16:creationId xmlns:a16="http://schemas.microsoft.com/office/drawing/2014/main" id="{0C71F47A-9341-459B-9E3D-EBF1447C75A8}"/>
            </a:ext>
          </a:extLst>
        </xdr:cNvPr>
        <xdr:cNvSpPr/>
      </xdr:nvSpPr>
      <xdr:spPr>
        <a:xfrm>
          <a:off x="8090370" y="4008261"/>
          <a:ext cx="4966641" cy="3004020"/>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342900</xdr:colOff>
      <xdr:row>21</xdr:row>
      <xdr:rowOff>95250</xdr:rowOff>
    </xdr:from>
    <xdr:to>
      <xdr:col>21</xdr:col>
      <xdr:colOff>38100</xdr:colOff>
      <xdr:row>33</xdr:row>
      <xdr:rowOff>133350</xdr:rowOff>
    </xdr:to>
    <xdr:graphicFrame macro="">
      <xdr:nvGraphicFramePr>
        <xdr:cNvPr id="47" name="Chart 46">
          <a:extLst>
            <a:ext uri="{FF2B5EF4-FFF2-40B4-BE49-F238E27FC236}">
              <a16:creationId xmlns:a16="http://schemas.microsoft.com/office/drawing/2014/main" id="{B256C8A0-A4B8-4C41-BFD7-4D4E449F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311150</xdr:colOff>
      <xdr:row>33</xdr:row>
      <xdr:rowOff>177800</xdr:rowOff>
    </xdr:from>
    <xdr:to>
      <xdr:col>21</xdr:col>
      <xdr:colOff>50800</xdr:colOff>
      <xdr:row>36</xdr:row>
      <xdr:rowOff>101600</xdr:rowOff>
    </xdr:to>
    <xdr:sp macro="" textlink="">
      <xdr:nvSpPr>
        <xdr:cNvPr id="48" name="TextBox 47">
          <a:extLst>
            <a:ext uri="{FF2B5EF4-FFF2-40B4-BE49-F238E27FC236}">
              <a16:creationId xmlns:a16="http://schemas.microsoft.com/office/drawing/2014/main" id="{793F1344-0B24-E8EA-D757-7D3674274524}"/>
            </a:ext>
          </a:extLst>
        </xdr:cNvPr>
        <xdr:cNvSpPr txBox="1"/>
      </xdr:nvSpPr>
      <xdr:spPr>
        <a:xfrm>
          <a:off x="8235950" y="6254750"/>
          <a:ext cx="46164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Conversion rates varied considerably throughout the campaign period. High-converting campaigns consistently outperformed low-converting campaigns, indicating opportunities to optimize underperforming marketing activities.</a:t>
          </a:r>
          <a:endParaRPr lang="en-US" sz="800">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21</xdr:col>
      <xdr:colOff>444500</xdr:colOff>
      <xdr:row>37</xdr:row>
      <xdr:rowOff>146050</xdr:rowOff>
    </xdr:from>
    <xdr:to>
      <xdr:col>29</xdr:col>
      <xdr:colOff>273050</xdr:colOff>
      <xdr:row>55</xdr:row>
      <xdr:rowOff>158750</xdr:rowOff>
    </xdr:to>
    <xdr:sp macro="" textlink="">
      <xdr:nvSpPr>
        <xdr:cNvPr id="49" name="Rectangle: Rounded Corners 48">
          <a:extLst>
            <a:ext uri="{FF2B5EF4-FFF2-40B4-BE49-F238E27FC236}">
              <a16:creationId xmlns:a16="http://schemas.microsoft.com/office/drawing/2014/main" id="{B408A235-3471-4EE1-BC5D-A0235FD2BA2E}"/>
            </a:ext>
          </a:extLst>
        </xdr:cNvPr>
        <xdr:cNvSpPr/>
      </xdr:nvSpPr>
      <xdr:spPr>
        <a:xfrm>
          <a:off x="13303250" y="6858907"/>
          <a:ext cx="4727121" cy="3278414"/>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533400</xdr:colOff>
      <xdr:row>38</xdr:row>
      <xdr:rowOff>12700</xdr:rowOff>
    </xdr:from>
    <xdr:to>
      <xdr:col>29</xdr:col>
      <xdr:colOff>203200</xdr:colOff>
      <xdr:row>52</xdr:row>
      <xdr:rowOff>57150</xdr:rowOff>
    </xdr:to>
    <xdr:graphicFrame macro="">
      <xdr:nvGraphicFramePr>
        <xdr:cNvPr id="50" name="Chart 49">
          <a:extLst>
            <a:ext uri="{FF2B5EF4-FFF2-40B4-BE49-F238E27FC236}">
              <a16:creationId xmlns:a16="http://schemas.microsoft.com/office/drawing/2014/main" id="{C119399F-FA04-4094-9319-35DB25135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546100</xdr:colOff>
      <xdr:row>52</xdr:row>
      <xdr:rowOff>127000</xdr:rowOff>
    </xdr:from>
    <xdr:to>
      <xdr:col>29</xdr:col>
      <xdr:colOff>196850</xdr:colOff>
      <xdr:row>55</xdr:row>
      <xdr:rowOff>57150</xdr:rowOff>
    </xdr:to>
    <xdr:sp macro="" textlink="">
      <xdr:nvSpPr>
        <xdr:cNvPr id="51" name="TextBox 50">
          <a:extLst>
            <a:ext uri="{FF2B5EF4-FFF2-40B4-BE49-F238E27FC236}">
              <a16:creationId xmlns:a16="http://schemas.microsoft.com/office/drawing/2014/main" id="{EA1C1207-955F-9628-84CF-051F86B90C68}"/>
            </a:ext>
          </a:extLst>
        </xdr:cNvPr>
        <xdr:cNvSpPr txBox="1"/>
      </xdr:nvSpPr>
      <xdr:spPr>
        <a:xfrm>
          <a:off x="13347700" y="9702800"/>
          <a:ext cx="452755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Customer Acquisition Cost varied across campaigns. Campaigns with higher CAC should be evaluated alongside their revenue contribution to determine whether they are delivering a positive return on marketing investment.</a:t>
          </a:r>
        </a:p>
        <a:p>
          <a:endParaRPr lang="en-US" sz="8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21</xdr:col>
      <xdr:colOff>482600</xdr:colOff>
      <xdr:row>21</xdr:row>
      <xdr:rowOff>28121</xdr:rowOff>
    </xdr:from>
    <xdr:to>
      <xdr:col>29</xdr:col>
      <xdr:colOff>273050</xdr:colOff>
      <xdr:row>37</xdr:row>
      <xdr:rowOff>50800</xdr:rowOff>
    </xdr:to>
    <xdr:sp macro="" textlink="">
      <xdr:nvSpPr>
        <xdr:cNvPr id="52" name="Rectangle: Rounded Corners 51">
          <a:extLst>
            <a:ext uri="{FF2B5EF4-FFF2-40B4-BE49-F238E27FC236}">
              <a16:creationId xmlns:a16="http://schemas.microsoft.com/office/drawing/2014/main" id="{F83071E7-6C7A-415B-AC13-C2C2B7748341}"/>
            </a:ext>
          </a:extLst>
        </xdr:cNvPr>
        <xdr:cNvSpPr/>
      </xdr:nvSpPr>
      <xdr:spPr>
        <a:xfrm>
          <a:off x="13341350" y="3838121"/>
          <a:ext cx="4689021" cy="2925536"/>
        </a:xfrm>
        <a:prstGeom prst="roundRect">
          <a:avLst>
            <a:gd name="adj" fmla="val 5503"/>
          </a:avLst>
        </a:prstGeom>
        <a:solidFill>
          <a:schemeClr val="bg1"/>
        </a:solidFill>
        <a:ln w="38100">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444500</xdr:colOff>
      <xdr:row>21</xdr:row>
      <xdr:rowOff>95250</xdr:rowOff>
    </xdr:from>
    <xdr:to>
      <xdr:col>29</xdr:col>
      <xdr:colOff>177800</xdr:colOff>
      <xdr:row>33</xdr:row>
      <xdr:rowOff>158750</xdr:rowOff>
    </xdr:to>
    <xdr:graphicFrame macro="">
      <xdr:nvGraphicFramePr>
        <xdr:cNvPr id="53" name="Chart 52">
          <a:extLst>
            <a:ext uri="{FF2B5EF4-FFF2-40B4-BE49-F238E27FC236}">
              <a16:creationId xmlns:a16="http://schemas.microsoft.com/office/drawing/2014/main" id="{39580D5F-7924-4313-837A-021D2BF66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476250</xdr:colOff>
      <xdr:row>34</xdr:row>
      <xdr:rowOff>38100</xdr:rowOff>
    </xdr:from>
    <xdr:to>
      <xdr:col>29</xdr:col>
      <xdr:colOff>171450</xdr:colOff>
      <xdr:row>36</xdr:row>
      <xdr:rowOff>165100</xdr:rowOff>
    </xdr:to>
    <xdr:sp macro="" textlink="">
      <xdr:nvSpPr>
        <xdr:cNvPr id="54" name="TextBox 53">
          <a:extLst>
            <a:ext uri="{FF2B5EF4-FFF2-40B4-BE49-F238E27FC236}">
              <a16:creationId xmlns:a16="http://schemas.microsoft.com/office/drawing/2014/main" id="{659BA5CC-419B-5021-C8E4-CCD3926EAF5E}"/>
            </a:ext>
          </a:extLst>
        </xdr:cNvPr>
        <xdr:cNvSpPr txBox="1"/>
      </xdr:nvSpPr>
      <xdr:spPr>
        <a:xfrm>
          <a:off x="13277850" y="6299200"/>
          <a:ext cx="45720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dk1"/>
              </a:solidFill>
              <a:effectLst/>
              <a:latin typeface="Calibri Light" panose="020F0302020204030204" pitchFamily="34" charset="0"/>
              <a:ea typeface="Calibri Light" panose="020F0302020204030204" pitchFamily="34" charset="0"/>
              <a:cs typeface="Calibri Light" panose="020F0302020204030204" pitchFamily="34" charset="0"/>
            </a:rPr>
            <a:t>The 'Not Applicable' segment generated the majority of revenue, while Tier 1 outperformed Tier 2 locations. This suggests that either non-tiered campaigns or broader targeting strategies produced stronger sales results.</a:t>
          </a:r>
        </a:p>
      </xdr:txBody>
    </xdr:sp>
    <xdr:clientData/>
  </xdr:twoCellAnchor>
  <xdr:twoCellAnchor>
    <xdr:from>
      <xdr:col>30</xdr:col>
      <xdr:colOff>254000</xdr:colOff>
      <xdr:row>13</xdr:row>
      <xdr:rowOff>114300</xdr:rowOff>
    </xdr:from>
    <xdr:to>
      <xdr:col>34</xdr:col>
      <xdr:colOff>241300</xdr:colOff>
      <xdr:row>17</xdr:row>
      <xdr:rowOff>69850</xdr:rowOff>
    </xdr:to>
    <xdr:sp macro="" textlink="">
      <xdr:nvSpPr>
        <xdr:cNvPr id="55" name="TextBox 54">
          <a:extLst>
            <a:ext uri="{FF2B5EF4-FFF2-40B4-BE49-F238E27FC236}">
              <a16:creationId xmlns:a16="http://schemas.microsoft.com/office/drawing/2014/main" id="{54B525E0-FE1A-07FA-4C61-E2FF032722AB}"/>
            </a:ext>
          </a:extLst>
        </xdr:cNvPr>
        <xdr:cNvSpPr txBox="1"/>
      </xdr:nvSpPr>
      <xdr:spPr>
        <a:xfrm>
          <a:off x="18542000" y="2508250"/>
          <a:ext cx="242570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Courier New" panose="02070309020205020404" pitchFamily="49" charset="0"/>
              <a:cs typeface="Courier New" panose="02070309020205020404" pitchFamily="49" charset="0"/>
            </a:rPr>
            <a:t>   Filters</a:t>
          </a:r>
        </a:p>
      </xdr:txBody>
    </xdr:sp>
    <xdr:clientData/>
  </xdr:twoCellAnchor>
  <xdr:twoCellAnchor>
    <xdr:from>
      <xdr:col>30</xdr:col>
      <xdr:colOff>412750</xdr:colOff>
      <xdr:row>16</xdr:row>
      <xdr:rowOff>50800</xdr:rowOff>
    </xdr:from>
    <xdr:to>
      <xdr:col>34</xdr:col>
      <xdr:colOff>184150</xdr:colOff>
      <xdr:row>16</xdr:row>
      <xdr:rowOff>50800</xdr:rowOff>
    </xdr:to>
    <xdr:cxnSp macro="">
      <xdr:nvCxnSpPr>
        <xdr:cNvPr id="57" name="Straight Connector 56">
          <a:extLst>
            <a:ext uri="{FF2B5EF4-FFF2-40B4-BE49-F238E27FC236}">
              <a16:creationId xmlns:a16="http://schemas.microsoft.com/office/drawing/2014/main" id="{8B7E74B4-DA93-E4C7-2DDD-7BB17BC12B85}"/>
            </a:ext>
          </a:extLst>
        </xdr:cNvPr>
        <xdr:cNvCxnSpPr/>
      </xdr:nvCxnSpPr>
      <xdr:spPr>
        <a:xfrm>
          <a:off x="18700750" y="2997200"/>
          <a:ext cx="2209800" cy="0"/>
        </a:xfrm>
        <a:prstGeom prst="line">
          <a:avLst/>
        </a:prstGeom>
        <a:ln w="635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30</xdr:col>
      <xdr:colOff>552450</xdr:colOff>
      <xdr:row>30</xdr:row>
      <xdr:rowOff>25400</xdr:rowOff>
    </xdr:from>
    <xdr:to>
      <xdr:col>33</xdr:col>
      <xdr:colOff>552450</xdr:colOff>
      <xdr:row>44</xdr:row>
      <xdr:rowOff>114300</xdr:rowOff>
    </xdr:to>
    <mc:AlternateContent xmlns:mc="http://schemas.openxmlformats.org/markup-compatibility/2006" xmlns:a14="http://schemas.microsoft.com/office/drawing/2010/main">
      <mc:Choice Requires="a14">
        <xdr:graphicFrame macro="">
          <xdr:nvGraphicFramePr>
            <xdr:cNvPr id="58" name="Campaign_Type 1">
              <a:extLst>
                <a:ext uri="{FF2B5EF4-FFF2-40B4-BE49-F238E27FC236}">
                  <a16:creationId xmlns:a16="http://schemas.microsoft.com/office/drawing/2014/main" id="{D4EF71F6-8187-4719-B08E-973F66EC86E4}"/>
                </a:ext>
              </a:extLst>
            </xdr:cNvPr>
            <xdr:cNvGraphicFramePr/>
          </xdr:nvGraphicFramePr>
          <xdr:xfrm>
            <a:off x="0" y="0"/>
            <a:ext cx="0" cy="0"/>
          </xdr:xfrm>
          <a:graphic>
            <a:graphicData uri="http://schemas.microsoft.com/office/drawing/2010/slicer">
              <sle:slicer xmlns:sle="http://schemas.microsoft.com/office/drawing/2010/slicer" name="Campaign_Type 1"/>
            </a:graphicData>
          </a:graphic>
        </xdr:graphicFrame>
      </mc:Choice>
      <mc:Fallback xmlns="">
        <xdr:sp macro="" textlink="">
          <xdr:nvSpPr>
            <xdr:cNvPr id="0" name=""/>
            <xdr:cNvSpPr>
              <a:spLocks noTextEdit="1"/>
            </xdr:cNvSpPr>
          </xdr:nvSpPr>
          <xdr:spPr>
            <a:xfrm>
              <a:off x="18840450" y="5549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577850</xdr:colOff>
      <xdr:row>45</xdr:row>
      <xdr:rowOff>31750</xdr:rowOff>
    </xdr:from>
    <xdr:to>
      <xdr:col>33</xdr:col>
      <xdr:colOff>577850</xdr:colOff>
      <xdr:row>50</xdr:row>
      <xdr:rowOff>158750</xdr:rowOff>
    </xdr:to>
    <mc:AlternateContent xmlns:mc="http://schemas.openxmlformats.org/markup-compatibility/2006" xmlns:a14="http://schemas.microsoft.com/office/drawing/2010/main">
      <mc:Choice Requires="a14">
        <xdr:graphicFrame macro="">
          <xdr:nvGraphicFramePr>
            <xdr:cNvPr id="59" name="Week 1">
              <a:extLst>
                <a:ext uri="{FF2B5EF4-FFF2-40B4-BE49-F238E27FC236}">
                  <a16:creationId xmlns:a16="http://schemas.microsoft.com/office/drawing/2014/main" id="{53A80699-7C7A-4BB3-8D25-3B0FD582C532}"/>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18865850" y="8318500"/>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546100</xdr:colOff>
      <xdr:row>24</xdr:row>
      <xdr:rowOff>69850</xdr:rowOff>
    </xdr:from>
    <xdr:to>
      <xdr:col>33</xdr:col>
      <xdr:colOff>552450</xdr:colOff>
      <xdr:row>29</xdr:row>
      <xdr:rowOff>120650</xdr:rowOff>
    </xdr:to>
    <mc:AlternateContent xmlns:mc="http://schemas.openxmlformats.org/markup-compatibility/2006" xmlns:a14="http://schemas.microsoft.com/office/drawing/2010/main">
      <mc:Choice Requires="a14">
        <xdr:graphicFrame macro="">
          <xdr:nvGraphicFramePr>
            <xdr:cNvPr id="60" name="Conversion2 (Grouped) 1">
              <a:extLst>
                <a:ext uri="{FF2B5EF4-FFF2-40B4-BE49-F238E27FC236}">
                  <a16:creationId xmlns:a16="http://schemas.microsoft.com/office/drawing/2014/main" id="{4E96E0F1-F076-4064-A7C5-DB5E5C4C4F1D}"/>
                </a:ext>
              </a:extLst>
            </xdr:cNvPr>
            <xdr:cNvGraphicFramePr/>
          </xdr:nvGraphicFramePr>
          <xdr:xfrm>
            <a:off x="0" y="0"/>
            <a:ext cx="0" cy="0"/>
          </xdr:xfrm>
          <a:graphic>
            <a:graphicData uri="http://schemas.microsoft.com/office/drawing/2010/slicer">
              <sle:slicer xmlns:sle="http://schemas.microsoft.com/office/drawing/2010/slicer" name="Conversion2 (Grouped) 1"/>
            </a:graphicData>
          </a:graphic>
        </xdr:graphicFrame>
      </mc:Choice>
      <mc:Fallback xmlns="">
        <xdr:sp macro="" textlink="">
          <xdr:nvSpPr>
            <xdr:cNvPr id="0" name=""/>
            <xdr:cNvSpPr>
              <a:spLocks noTextEdit="1"/>
            </xdr:cNvSpPr>
          </xdr:nvSpPr>
          <xdr:spPr>
            <a:xfrm>
              <a:off x="18834100" y="4489450"/>
              <a:ext cx="183515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279400</xdr:colOff>
      <xdr:row>17</xdr:row>
      <xdr:rowOff>12700</xdr:rowOff>
    </xdr:from>
    <xdr:to>
      <xdr:col>34</xdr:col>
      <xdr:colOff>247650</xdr:colOff>
      <xdr:row>23</xdr:row>
      <xdr:rowOff>82550</xdr:rowOff>
    </xdr:to>
    <mc:AlternateContent xmlns:mc="http://schemas.openxmlformats.org/markup-compatibility/2006" xmlns:tsle="http://schemas.microsoft.com/office/drawing/2012/timeslicer">
      <mc:Choice Requires="tsle">
        <xdr:graphicFrame macro="">
          <xdr:nvGraphicFramePr>
            <xdr:cNvPr id="61" name="Date 1">
              <a:extLst>
                <a:ext uri="{FF2B5EF4-FFF2-40B4-BE49-F238E27FC236}">
                  <a16:creationId xmlns:a16="http://schemas.microsoft.com/office/drawing/2014/main" id="{AAFDD204-4DD2-4D84-B756-A4AC6EDFE58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8567400" y="3143250"/>
              <a:ext cx="2406650" cy="1174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30</xdr:col>
      <xdr:colOff>412750</xdr:colOff>
      <xdr:row>51</xdr:row>
      <xdr:rowOff>107950</xdr:rowOff>
    </xdr:from>
    <xdr:to>
      <xdr:col>34</xdr:col>
      <xdr:colOff>209550</xdr:colOff>
      <xdr:row>55</xdr:row>
      <xdr:rowOff>38100</xdr:rowOff>
    </xdr:to>
    <xdr:sp macro="" textlink="">
      <xdr:nvSpPr>
        <xdr:cNvPr id="62" name="TextBox 61">
          <a:extLst>
            <a:ext uri="{FF2B5EF4-FFF2-40B4-BE49-F238E27FC236}">
              <a16:creationId xmlns:a16="http://schemas.microsoft.com/office/drawing/2014/main" id="{6DF15A84-9207-252A-EF80-2AC1B1FA1FFE}"/>
            </a:ext>
          </a:extLst>
        </xdr:cNvPr>
        <xdr:cNvSpPr txBox="1"/>
      </xdr:nvSpPr>
      <xdr:spPr>
        <a:xfrm>
          <a:off x="18700750" y="9499600"/>
          <a:ext cx="22352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800" b="0" i="0">
              <a:latin typeface="Century" panose="02040604050505020304" pitchFamily="18" charset="0"/>
            </a:rPr>
            <a:t>Benedicta</a:t>
          </a:r>
          <a:r>
            <a:rPr lang="en-US" sz="800" b="0" i="0" baseline="0">
              <a:latin typeface="Century" panose="02040604050505020304" pitchFamily="18" charset="0"/>
            </a:rPr>
            <a:t> Izegbue</a:t>
          </a:r>
        </a:p>
        <a:p>
          <a:r>
            <a:rPr lang="en-US" sz="800" b="0" i="0" baseline="0">
              <a:latin typeface="Century" panose="02040604050505020304" pitchFamily="18" charset="0"/>
            </a:rPr>
            <a:t>Marketing Analyst</a:t>
          </a:r>
        </a:p>
        <a:p>
          <a:r>
            <a:rPr lang="en-US" sz="800" b="0" i="1" baseline="0">
              <a:latin typeface="Century" panose="02040604050505020304" pitchFamily="18" charset="0"/>
            </a:rPr>
            <a:t>benedictaizegbue6@gmail.com</a:t>
          </a:r>
          <a:endParaRPr lang="en-US" sz="800" b="0" i="1">
            <a:latin typeface="Century" panose="02040604050505020304" pitchFamily="18" charset="0"/>
          </a:endParaRPr>
        </a:p>
        <a:p>
          <a:endParaRPr lang="en-US" sz="1100"/>
        </a:p>
      </xdr:txBody>
    </xdr:sp>
    <xdr:clientData/>
  </xdr:twoCellAnchor>
  <xdr:twoCellAnchor>
    <xdr:from>
      <xdr:col>30</xdr:col>
      <xdr:colOff>552450</xdr:colOff>
      <xdr:row>52</xdr:row>
      <xdr:rowOff>50800</xdr:rowOff>
    </xdr:from>
    <xdr:to>
      <xdr:col>34</xdr:col>
      <xdr:colOff>25400</xdr:colOff>
      <xdr:row>52</xdr:row>
      <xdr:rowOff>50800</xdr:rowOff>
    </xdr:to>
    <xdr:cxnSp macro="">
      <xdr:nvCxnSpPr>
        <xdr:cNvPr id="64" name="Straight Connector 63">
          <a:extLst>
            <a:ext uri="{FF2B5EF4-FFF2-40B4-BE49-F238E27FC236}">
              <a16:creationId xmlns:a16="http://schemas.microsoft.com/office/drawing/2014/main" id="{A9F69B88-020E-1C67-6BE0-3246F86A7716}"/>
            </a:ext>
          </a:extLst>
        </xdr:cNvPr>
        <xdr:cNvCxnSpPr/>
      </xdr:nvCxnSpPr>
      <xdr:spPr>
        <a:xfrm>
          <a:off x="18840450" y="9626600"/>
          <a:ext cx="1911350" cy="0"/>
        </a:xfrm>
        <a:prstGeom prst="line">
          <a:avLst/>
        </a:prstGeom>
        <a:ln w="6350">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323850</xdr:colOff>
      <xdr:row>8</xdr:row>
      <xdr:rowOff>82550</xdr:rowOff>
    </xdr:from>
    <xdr:to>
      <xdr:col>22</xdr:col>
      <xdr:colOff>133350</xdr:colOff>
      <xdr:row>13</xdr:row>
      <xdr:rowOff>6350</xdr:rowOff>
    </xdr:to>
    <xdr:sp macro="" textlink="">
      <xdr:nvSpPr>
        <xdr:cNvPr id="65" name="TextBox 64">
          <a:extLst>
            <a:ext uri="{FF2B5EF4-FFF2-40B4-BE49-F238E27FC236}">
              <a16:creationId xmlns:a16="http://schemas.microsoft.com/office/drawing/2014/main" id="{CB3B6E68-C915-DB87-18C4-731F14360BAF}"/>
            </a:ext>
          </a:extLst>
        </xdr:cNvPr>
        <xdr:cNvSpPr txBox="1"/>
      </xdr:nvSpPr>
      <xdr:spPr>
        <a:xfrm>
          <a:off x="3371850" y="1555750"/>
          <a:ext cx="10172700" cy="844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Century" panose="02040604050505020304" pitchFamily="18" charset="0"/>
            </a:rPr>
            <a:t>INTERACTIVE MARKETING CAMPAIGN PERFORMANCE</a:t>
          </a:r>
          <a:r>
            <a:rPr lang="en-US" sz="2000" b="1" baseline="0">
              <a:solidFill>
                <a:schemeClr val="bg1"/>
              </a:solidFill>
              <a:latin typeface="Century" panose="02040604050505020304" pitchFamily="18" charset="0"/>
            </a:rPr>
            <a:t> DASHBOARD</a:t>
          </a:r>
        </a:p>
        <a:p>
          <a:r>
            <a:rPr lang="en-US" sz="1200" b="0" i="1">
              <a:solidFill>
                <a:schemeClr val="bg1"/>
              </a:solidFill>
              <a:latin typeface="Century" panose="02040604050505020304" pitchFamily="18" charset="0"/>
              <a:ea typeface="Calibri Light" panose="020F0302020204030204" pitchFamily="34" charset="0"/>
              <a:cs typeface="Calibri Light" panose="020F0302020204030204" pitchFamily="34" charset="0"/>
            </a:rPr>
            <a:t>This dashboard analyzes marketing spend, revenue, campaign performance, customer conversions, advertising</a:t>
          </a:r>
          <a:r>
            <a:rPr lang="en-US" sz="1200" b="0" i="1" baseline="0">
              <a:solidFill>
                <a:schemeClr val="bg1"/>
              </a:solidFill>
              <a:latin typeface="Century" panose="02040604050505020304" pitchFamily="18" charset="0"/>
              <a:ea typeface="Calibri Light" panose="020F0302020204030204" pitchFamily="34" charset="0"/>
              <a:cs typeface="Calibri Light" panose="020F0302020204030204" pitchFamily="34" charset="0"/>
            </a:rPr>
            <a:t> efficiency, and return on marketing investment (ROMI) across multiple digital marketing channels.</a:t>
          </a:r>
          <a:endParaRPr lang="en-US" sz="1200" b="0" i="1">
            <a:solidFill>
              <a:schemeClr val="bg1"/>
            </a:solidFill>
            <a:latin typeface="Century" panose="02040604050505020304" pitchFamily="18" charset="0"/>
            <a:ea typeface="Calibri Light" panose="020F0302020204030204" pitchFamily="34" charset="0"/>
            <a:cs typeface="Calibri Light" panose="020F0302020204030204" pitchFamily="34" charset="0"/>
          </a:endParaRPr>
        </a:p>
      </xdr:txBody>
    </xdr:sp>
    <xdr:clientData/>
  </xdr:twoCellAnchor>
  <xdr:twoCellAnchor editAs="oneCell">
    <xdr:from>
      <xdr:col>30</xdr:col>
      <xdr:colOff>349250</xdr:colOff>
      <xdr:row>13</xdr:row>
      <xdr:rowOff>139701</xdr:rowOff>
    </xdr:from>
    <xdr:to>
      <xdr:col>30</xdr:col>
      <xdr:colOff>533400</xdr:colOff>
      <xdr:row>14</xdr:row>
      <xdr:rowOff>168777</xdr:rowOff>
    </xdr:to>
    <xdr:pic>
      <xdr:nvPicPr>
        <xdr:cNvPr id="8" name="Picture 7">
          <a:extLst>
            <a:ext uri="{FF2B5EF4-FFF2-40B4-BE49-F238E27FC236}">
              <a16:creationId xmlns:a16="http://schemas.microsoft.com/office/drawing/2014/main" id="{4CFAEF2E-13F1-DE80-F4E9-73E7E283C7B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637250" y="2533651"/>
          <a:ext cx="184150" cy="213226"/>
        </a:xfrm>
        <a:prstGeom prst="rect">
          <a:avLst/>
        </a:prstGeom>
      </xdr:spPr>
    </xdr:pic>
    <xdr:clientData/>
  </xdr:twoCellAnchor>
  <xdr:twoCellAnchor>
    <xdr:from>
      <xdr:col>5</xdr:col>
      <xdr:colOff>494360</xdr:colOff>
      <xdr:row>13</xdr:row>
      <xdr:rowOff>179446</xdr:rowOff>
    </xdr:from>
    <xdr:to>
      <xdr:col>8</xdr:col>
      <xdr:colOff>367360</xdr:colOff>
      <xdr:row>15</xdr:row>
      <xdr:rowOff>84196</xdr:rowOff>
    </xdr:to>
    <xdr:sp macro="" textlink="">
      <xdr:nvSpPr>
        <xdr:cNvPr id="9" name="TextBox 8">
          <a:extLst>
            <a:ext uri="{FF2B5EF4-FFF2-40B4-BE49-F238E27FC236}">
              <a16:creationId xmlns:a16="http://schemas.microsoft.com/office/drawing/2014/main" id="{0975FF77-9A3A-0504-2BF2-0ABCC69B3018}"/>
            </a:ext>
          </a:extLst>
        </xdr:cNvPr>
        <xdr:cNvSpPr txBox="1"/>
      </xdr:nvSpPr>
      <xdr:spPr>
        <a:xfrm>
          <a:off x="3551767" y="2625372"/>
          <a:ext cx="1707445" cy="281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Century" panose="02040604050505020304" pitchFamily="18" charset="0"/>
              <a:ea typeface="Calibri Light" panose="020F0302020204030204" pitchFamily="34" charset="0"/>
              <a:cs typeface="Calibri Light" panose="020F0302020204030204" pitchFamily="34" charset="0"/>
            </a:rPr>
            <a:t>Marketing Budget</a:t>
          </a:r>
        </a:p>
      </xdr:txBody>
    </xdr:sp>
    <xdr:clientData/>
  </xdr:twoCellAnchor>
  <xdr:twoCellAnchor>
    <xdr:from>
      <xdr:col>5</xdr:col>
      <xdr:colOff>462609</xdr:colOff>
      <xdr:row>15</xdr:row>
      <xdr:rowOff>166746</xdr:rowOff>
    </xdr:from>
    <xdr:to>
      <xdr:col>8</xdr:col>
      <xdr:colOff>297509</xdr:colOff>
      <xdr:row>18</xdr:row>
      <xdr:rowOff>65146</xdr:rowOff>
    </xdr:to>
    <xdr:sp macro="" textlink="'PivotTables and PivotCharts'!C7">
      <xdr:nvSpPr>
        <xdr:cNvPr id="10" name="TextBox 9">
          <a:extLst>
            <a:ext uri="{FF2B5EF4-FFF2-40B4-BE49-F238E27FC236}">
              <a16:creationId xmlns:a16="http://schemas.microsoft.com/office/drawing/2014/main" id="{C99707FE-E9FA-C989-910C-BA8C02019B55}"/>
            </a:ext>
          </a:extLst>
        </xdr:cNvPr>
        <xdr:cNvSpPr txBox="1"/>
      </xdr:nvSpPr>
      <xdr:spPr>
        <a:xfrm>
          <a:off x="3520016" y="2988968"/>
          <a:ext cx="1669345" cy="46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57A648-010C-43F2-9308-ECADD28CC35B}" type="TxLink">
            <a:rPr lang="en-US" sz="2400" b="1" i="0" u="none" strike="noStrike">
              <a:solidFill>
                <a:srgbClr val="000000"/>
              </a:solidFill>
              <a:latin typeface="Aptos Narrow"/>
            </a:rPr>
            <a:pPr algn="ctr"/>
            <a:t>₹ 30.59M</a:t>
          </a:fld>
          <a:endParaRPr lang="en-US" sz="2400" b="1"/>
        </a:p>
      </xdr:txBody>
    </xdr:sp>
    <xdr:clientData/>
  </xdr:twoCellAnchor>
  <xdr:twoCellAnchor editAs="oneCell">
    <xdr:from>
      <xdr:col>5</xdr:col>
      <xdr:colOff>331141</xdr:colOff>
      <xdr:row>15</xdr:row>
      <xdr:rowOff>20227</xdr:rowOff>
    </xdr:from>
    <xdr:to>
      <xdr:col>6</xdr:col>
      <xdr:colOff>105832</xdr:colOff>
      <xdr:row>17</xdr:row>
      <xdr:rowOff>37214</xdr:rowOff>
    </xdr:to>
    <xdr:pic>
      <xdr:nvPicPr>
        <xdr:cNvPr id="12" name="Picture 11">
          <a:extLst>
            <a:ext uri="{FF2B5EF4-FFF2-40B4-BE49-F238E27FC236}">
              <a16:creationId xmlns:a16="http://schemas.microsoft.com/office/drawing/2014/main" id="{A3812C6F-55B6-109F-34D7-0C726454F30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88548" y="2842449"/>
          <a:ext cx="386173" cy="393284"/>
        </a:xfrm>
        <a:prstGeom prst="rect">
          <a:avLst/>
        </a:prstGeom>
      </xdr:spPr>
    </xdr:pic>
    <xdr:clientData/>
  </xdr:twoCellAnchor>
  <xdr:twoCellAnchor>
    <xdr:from>
      <xdr:col>9</xdr:col>
      <xdr:colOff>298450</xdr:colOff>
      <xdr:row>13</xdr:row>
      <xdr:rowOff>184855</xdr:rowOff>
    </xdr:from>
    <xdr:to>
      <xdr:col>12</xdr:col>
      <xdr:colOff>501650</xdr:colOff>
      <xdr:row>15</xdr:row>
      <xdr:rowOff>115005</xdr:rowOff>
    </xdr:to>
    <xdr:sp macro="" textlink="">
      <xdr:nvSpPr>
        <xdr:cNvPr id="13" name="TextBox 12">
          <a:extLst>
            <a:ext uri="{FF2B5EF4-FFF2-40B4-BE49-F238E27FC236}">
              <a16:creationId xmlns:a16="http://schemas.microsoft.com/office/drawing/2014/main" id="{3A5556BF-0580-AB6B-5C37-CFC5DC87AD22}"/>
            </a:ext>
          </a:extLst>
        </xdr:cNvPr>
        <xdr:cNvSpPr txBox="1"/>
      </xdr:nvSpPr>
      <xdr:spPr>
        <a:xfrm>
          <a:off x="5801783" y="2630781"/>
          <a:ext cx="2037645" cy="30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Century" panose="02040604050505020304" pitchFamily="18" charset="0"/>
            </a:rPr>
            <a:t>Average Order Value</a:t>
          </a:r>
        </a:p>
      </xdr:txBody>
    </xdr:sp>
    <xdr:clientData/>
  </xdr:twoCellAnchor>
  <xdr:twoCellAnchor>
    <xdr:from>
      <xdr:col>9</xdr:col>
      <xdr:colOff>362890</xdr:colOff>
      <xdr:row>15</xdr:row>
      <xdr:rowOff>182974</xdr:rowOff>
    </xdr:from>
    <xdr:to>
      <xdr:col>12</xdr:col>
      <xdr:colOff>369240</xdr:colOff>
      <xdr:row>18</xdr:row>
      <xdr:rowOff>163924</xdr:rowOff>
    </xdr:to>
    <xdr:sp macro="" textlink="'PivotTables and PivotCharts'!D7">
      <xdr:nvSpPr>
        <xdr:cNvPr id="14" name="TextBox 13">
          <a:extLst>
            <a:ext uri="{FF2B5EF4-FFF2-40B4-BE49-F238E27FC236}">
              <a16:creationId xmlns:a16="http://schemas.microsoft.com/office/drawing/2014/main" id="{2EE97FF2-3AAF-D9E5-A7BA-C0D7C125B879}"/>
            </a:ext>
          </a:extLst>
        </xdr:cNvPr>
        <xdr:cNvSpPr txBox="1"/>
      </xdr:nvSpPr>
      <xdr:spPr>
        <a:xfrm>
          <a:off x="5866223" y="3005196"/>
          <a:ext cx="1840795" cy="54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CD6C72-0AFB-481A-9B80-FF80833BD689}" type="TxLink">
            <a:rPr lang="en-US" sz="2400" b="1" i="0" u="none" strike="noStrike">
              <a:solidFill>
                <a:srgbClr val="000000"/>
              </a:solidFill>
              <a:latin typeface="Aptos Narrow"/>
            </a:rPr>
            <a:pPr algn="ctr"/>
            <a:t>₹ 5.33K</a:t>
          </a:fld>
          <a:endParaRPr lang="en-US" sz="2400" b="1"/>
        </a:p>
      </xdr:txBody>
    </xdr:sp>
    <xdr:clientData/>
  </xdr:twoCellAnchor>
  <xdr:twoCellAnchor>
    <xdr:from>
      <xdr:col>13</xdr:col>
      <xdr:colOff>451790</xdr:colOff>
      <xdr:row>13</xdr:row>
      <xdr:rowOff>186502</xdr:rowOff>
    </xdr:from>
    <xdr:to>
      <xdr:col>16</xdr:col>
      <xdr:colOff>527990</xdr:colOff>
      <xdr:row>15</xdr:row>
      <xdr:rowOff>80904</xdr:rowOff>
    </xdr:to>
    <xdr:sp macro="" textlink="">
      <xdr:nvSpPr>
        <xdr:cNvPr id="17" name="TextBox 16">
          <a:extLst>
            <a:ext uri="{FF2B5EF4-FFF2-40B4-BE49-F238E27FC236}">
              <a16:creationId xmlns:a16="http://schemas.microsoft.com/office/drawing/2014/main" id="{8B551885-3672-214B-5810-68EBD0C49FE4}"/>
            </a:ext>
          </a:extLst>
        </xdr:cNvPr>
        <xdr:cNvSpPr txBox="1"/>
      </xdr:nvSpPr>
      <xdr:spPr>
        <a:xfrm>
          <a:off x="8401049" y="2632428"/>
          <a:ext cx="1910645" cy="2706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Century" panose="02040604050505020304" pitchFamily="18" charset="0"/>
            </a:rPr>
            <a:t>Cost</a:t>
          </a:r>
          <a:r>
            <a:rPr lang="en-US" sz="1200" b="1" baseline="0">
              <a:latin typeface="Century" panose="02040604050505020304" pitchFamily="18" charset="0"/>
            </a:rPr>
            <a:t> Per Click</a:t>
          </a:r>
          <a:endParaRPr lang="en-US" sz="1200" b="1">
            <a:latin typeface="Century" panose="02040604050505020304" pitchFamily="18" charset="0"/>
          </a:endParaRPr>
        </a:p>
      </xdr:txBody>
    </xdr:sp>
    <xdr:clientData/>
  </xdr:twoCellAnchor>
  <xdr:twoCellAnchor>
    <xdr:from>
      <xdr:col>13</xdr:col>
      <xdr:colOff>333728</xdr:colOff>
      <xdr:row>15</xdr:row>
      <xdr:rowOff>182739</xdr:rowOff>
    </xdr:from>
    <xdr:to>
      <xdr:col>16</xdr:col>
      <xdr:colOff>581378</xdr:colOff>
      <xdr:row>19</xdr:row>
      <xdr:rowOff>102541</xdr:rowOff>
    </xdr:to>
    <xdr:sp macro="" textlink="'PivotTables and PivotCharts'!E7">
      <xdr:nvSpPr>
        <xdr:cNvPr id="18" name="TextBox 17">
          <a:extLst>
            <a:ext uri="{FF2B5EF4-FFF2-40B4-BE49-F238E27FC236}">
              <a16:creationId xmlns:a16="http://schemas.microsoft.com/office/drawing/2014/main" id="{91D2C3D5-7851-008D-5977-D0DFCD345010}"/>
            </a:ext>
          </a:extLst>
        </xdr:cNvPr>
        <xdr:cNvSpPr txBox="1"/>
      </xdr:nvSpPr>
      <xdr:spPr>
        <a:xfrm>
          <a:off x="8282987" y="3004961"/>
          <a:ext cx="2082095" cy="672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85AEB9-82CB-4BE5-A5D1-6DD93165499D}" type="TxLink">
            <a:rPr lang="en-US" sz="2400" b="1" i="0" u="none" strike="noStrike">
              <a:solidFill>
                <a:srgbClr val="000000"/>
              </a:solidFill>
              <a:latin typeface="Aptos Narrow"/>
            </a:rPr>
            <a:pPr algn="ctr"/>
            <a:t>₹ 0.01K</a:t>
          </a:fld>
          <a:endParaRPr lang="en-US" sz="2400" b="1"/>
        </a:p>
      </xdr:txBody>
    </xdr:sp>
    <xdr:clientData/>
  </xdr:twoCellAnchor>
  <xdr:twoCellAnchor editAs="oneCell">
    <xdr:from>
      <xdr:col>9</xdr:col>
      <xdr:colOff>259159</xdr:colOff>
      <xdr:row>15</xdr:row>
      <xdr:rowOff>59267</xdr:rowOff>
    </xdr:from>
    <xdr:to>
      <xdr:col>10</xdr:col>
      <xdr:colOff>47037</xdr:colOff>
      <xdr:row>17</xdr:row>
      <xdr:rowOff>27891</xdr:rowOff>
    </xdr:to>
    <xdr:pic>
      <xdr:nvPicPr>
        <xdr:cNvPr id="20" name="Picture 19">
          <a:extLst>
            <a:ext uri="{FF2B5EF4-FFF2-40B4-BE49-F238E27FC236}">
              <a16:creationId xmlns:a16="http://schemas.microsoft.com/office/drawing/2014/main" id="{F7471909-C0C0-1061-3E57-C3610C69E77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762492" y="2881489"/>
          <a:ext cx="399360" cy="344921"/>
        </a:xfrm>
        <a:prstGeom prst="rect">
          <a:avLst/>
        </a:prstGeom>
      </xdr:spPr>
    </xdr:pic>
    <xdr:clientData/>
  </xdr:twoCellAnchor>
  <xdr:twoCellAnchor editAs="oneCell">
    <xdr:from>
      <xdr:col>13</xdr:col>
      <xdr:colOff>274930</xdr:colOff>
      <xdr:row>15</xdr:row>
      <xdr:rowOff>9172</xdr:rowOff>
    </xdr:from>
    <xdr:to>
      <xdr:col>14</xdr:col>
      <xdr:colOff>211665</xdr:colOff>
      <xdr:row>17</xdr:row>
      <xdr:rowOff>73715</xdr:rowOff>
    </xdr:to>
    <xdr:pic>
      <xdr:nvPicPr>
        <xdr:cNvPr id="22" name="Picture 21">
          <a:extLst>
            <a:ext uri="{FF2B5EF4-FFF2-40B4-BE49-F238E27FC236}">
              <a16:creationId xmlns:a16="http://schemas.microsoft.com/office/drawing/2014/main" id="{CB18A24A-A00B-6181-7026-82B57F2F4D5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224189" y="2831394"/>
          <a:ext cx="548217" cy="440840"/>
        </a:xfrm>
        <a:prstGeom prst="rect">
          <a:avLst/>
        </a:prstGeom>
      </xdr:spPr>
    </xdr:pic>
    <xdr:clientData/>
  </xdr:twoCellAnchor>
  <xdr:twoCellAnchor>
    <xdr:from>
      <xdr:col>17</xdr:col>
      <xdr:colOff>591491</xdr:colOff>
      <xdr:row>14</xdr:row>
      <xdr:rowOff>4704</xdr:rowOff>
    </xdr:from>
    <xdr:to>
      <xdr:col>21</xdr:col>
      <xdr:colOff>32691</xdr:colOff>
      <xdr:row>15</xdr:row>
      <xdr:rowOff>55504</xdr:rowOff>
    </xdr:to>
    <xdr:sp macro="" textlink="">
      <xdr:nvSpPr>
        <xdr:cNvPr id="23" name="TextBox 22">
          <a:extLst>
            <a:ext uri="{FF2B5EF4-FFF2-40B4-BE49-F238E27FC236}">
              <a16:creationId xmlns:a16="http://schemas.microsoft.com/office/drawing/2014/main" id="{5B091950-E640-55EF-0B45-0B38FFCC78B4}"/>
            </a:ext>
          </a:extLst>
        </xdr:cNvPr>
        <xdr:cNvSpPr txBox="1"/>
      </xdr:nvSpPr>
      <xdr:spPr>
        <a:xfrm>
          <a:off x="10986676" y="2638778"/>
          <a:ext cx="1887126" cy="23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Century" panose="02040604050505020304" pitchFamily="18" charset="0"/>
            </a:rPr>
            <a:t>Cost Per Lead</a:t>
          </a:r>
        </a:p>
      </xdr:txBody>
    </xdr:sp>
    <xdr:clientData/>
  </xdr:twoCellAnchor>
  <xdr:twoCellAnchor>
    <xdr:from>
      <xdr:col>18</xdr:col>
      <xdr:colOff>58796</xdr:colOff>
      <xdr:row>15</xdr:row>
      <xdr:rowOff>183210</xdr:rowOff>
    </xdr:from>
    <xdr:to>
      <xdr:col>20</xdr:col>
      <xdr:colOff>571500</xdr:colOff>
      <xdr:row>19</xdr:row>
      <xdr:rowOff>47038</xdr:rowOff>
    </xdr:to>
    <xdr:sp macro="" textlink="'PivotTables and PivotCharts'!F7">
      <xdr:nvSpPr>
        <xdr:cNvPr id="24" name="TextBox 23">
          <a:extLst>
            <a:ext uri="{FF2B5EF4-FFF2-40B4-BE49-F238E27FC236}">
              <a16:creationId xmlns:a16="http://schemas.microsoft.com/office/drawing/2014/main" id="{FDC06410-5CF6-3863-3B79-D9048DAB7DEB}"/>
            </a:ext>
          </a:extLst>
        </xdr:cNvPr>
        <xdr:cNvSpPr txBox="1"/>
      </xdr:nvSpPr>
      <xdr:spPr>
        <a:xfrm>
          <a:off x="11065463" y="3005432"/>
          <a:ext cx="1735667" cy="6164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1B69CB-3E86-4929-AB84-569DAB39C57A}" type="TxLink">
            <a:rPr lang="en-US" sz="2400" b="1" i="0" u="none" strike="noStrike">
              <a:solidFill>
                <a:srgbClr val="000000"/>
              </a:solidFill>
              <a:latin typeface="Aptos Narrow"/>
            </a:rPr>
            <a:pPr algn="ctr"/>
            <a:t>₹ 0.47K</a:t>
          </a:fld>
          <a:endParaRPr lang="en-US" sz="2400" b="1"/>
        </a:p>
      </xdr:txBody>
    </xdr:sp>
    <xdr:clientData/>
  </xdr:twoCellAnchor>
  <xdr:twoCellAnchor editAs="oneCell">
    <xdr:from>
      <xdr:col>17</xdr:col>
      <xdr:colOff>523521</xdr:colOff>
      <xdr:row>15</xdr:row>
      <xdr:rowOff>1175</xdr:rowOff>
    </xdr:from>
    <xdr:to>
      <xdr:col>18</xdr:col>
      <xdr:colOff>388055</xdr:colOff>
      <xdr:row>16</xdr:row>
      <xdr:rowOff>165457</xdr:rowOff>
    </xdr:to>
    <xdr:pic>
      <xdr:nvPicPr>
        <xdr:cNvPr id="38" name="Picture 37">
          <a:extLst>
            <a:ext uri="{FF2B5EF4-FFF2-40B4-BE49-F238E27FC236}">
              <a16:creationId xmlns:a16="http://schemas.microsoft.com/office/drawing/2014/main" id="{FD0D62BA-8BA9-627D-5773-F71B1433496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918706" y="2823397"/>
          <a:ext cx="476016" cy="352430"/>
        </a:xfrm>
        <a:prstGeom prst="rect">
          <a:avLst/>
        </a:prstGeom>
      </xdr:spPr>
    </xdr:pic>
    <xdr:clientData/>
  </xdr:twoCellAnchor>
  <xdr:twoCellAnchor>
    <xdr:from>
      <xdr:col>21</xdr:col>
      <xdr:colOff>571500</xdr:colOff>
      <xdr:row>14</xdr:row>
      <xdr:rowOff>12700</xdr:rowOff>
    </xdr:from>
    <xdr:to>
      <xdr:col>25</xdr:col>
      <xdr:colOff>38100</xdr:colOff>
      <xdr:row>15</xdr:row>
      <xdr:rowOff>158750</xdr:rowOff>
    </xdr:to>
    <xdr:sp macro="" textlink="">
      <xdr:nvSpPr>
        <xdr:cNvPr id="42" name="TextBox 41">
          <a:extLst>
            <a:ext uri="{FF2B5EF4-FFF2-40B4-BE49-F238E27FC236}">
              <a16:creationId xmlns:a16="http://schemas.microsoft.com/office/drawing/2014/main" id="{6E9770B8-9DF9-40C7-DECE-05B653A9DF86}"/>
            </a:ext>
          </a:extLst>
        </xdr:cNvPr>
        <xdr:cNvSpPr txBox="1"/>
      </xdr:nvSpPr>
      <xdr:spPr>
        <a:xfrm>
          <a:off x="13373100" y="2590800"/>
          <a:ext cx="19050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latin typeface="Century" panose="02040604050505020304" pitchFamily="18" charset="0"/>
            </a:rPr>
            <a:t>Customer Acquisition Cost</a:t>
          </a:r>
        </a:p>
      </xdr:txBody>
    </xdr:sp>
    <xdr:clientData/>
  </xdr:twoCellAnchor>
  <xdr:twoCellAnchor>
    <xdr:from>
      <xdr:col>22</xdr:col>
      <xdr:colOff>76200</xdr:colOff>
      <xdr:row>15</xdr:row>
      <xdr:rowOff>177800</xdr:rowOff>
    </xdr:from>
    <xdr:to>
      <xdr:col>24</xdr:col>
      <xdr:colOff>565150</xdr:colOff>
      <xdr:row>18</xdr:row>
      <xdr:rowOff>95250</xdr:rowOff>
    </xdr:to>
    <xdr:sp macro="" textlink="'PivotTables and PivotCharts'!G7">
      <xdr:nvSpPr>
        <xdr:cNvPr id="46" name="TextBox 45">
          <a:extLst>
            <a:ext uri="{FF2B5EF4-FFF2-40B4-BE49-F238E27FC236}">
              <a16:creationId xmlns:a16="http://schemas.microsoft.com/office/drawing/2014/main" id="{0E17182B-A655-A422-7D5C-66FB68B608E2}"/>
            </a:ext>
          </a:extLst>
        </xdr:cNvPr>
        <xdr:cNvSpPr txBox="1"/>
      </xdr:nvSpPr>
      <xdr:spPr>
        <a:xfrm>
          <a:off x="13487400" y="2940050"/>
          <a:ext cx="170815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848226-A290-4A92-B65A-CCD511722AE2}" type="TxLink">
            <a:rPr lang="en-US" sz="2400" b="1" i="0" u="none" strike="noStrike">
              <a:solidFill>
                <a:srgbClr val="000000"/>
              </a:solidFill>
              <a:latin typeface="Aptos Narrow"/>
            </a:rPr>
            <a:pPr algn="ctr"/>
            <a:t>₹ 3.80K</a:t>
          </a:fld>
          <a:endParaRPr lang="en-US" sz="2400" b="1"/>
        </a:p>
      </xdr:txBody>
    </xdr:sp>
    <xdr:clientData/>
  </xdr:twoCellAnchor>
  <xdr:twoCellAnchor editAs="oneCell">
    <xdr:from>
      <xdr:col>21</xdr:col>
      <xdr:colOff>566091</xdr:colOff>
      <xdr:row>15</xdr:row>
      <xdr:rowOff>72672</xdr:rowOff>
    </xdr:from>
    <xdr:to>
      <xdr:col>22</xdr:col>
      <xdr:colOff>305741</xdr:colOff>
      <xdr:row>17</xdr:row>
      <xdr:rowOff>54230</xdr:rowOff>
    </xdr:to>
    <xdr:pic>
      <xdr:nvPicPr>
        <xdr:cNvPr id="63" name="Picture 62">
          <a:extLst>
            <a:ext uri="{FF2B5EF4-FFF2-40B4-BE49-F238E27FC236}">
              <a16:creationId xmlns:a16="http://schemas.microsoft.com/office/drawing/2014/main" id="{FBE216B8-B43A-537F-5CC8-10819B0A1C9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07202" y="2894894"/>
          <a:ext cx="351132" cy="357855"/>
        </a:xfrm>
        <a:prstGeom prst="rect">
          <a:avLst/>
        </a:prstGeom>
      </xdr:spPr>
    </xdr:pic>
    <xdr:clientData/>
  </xdr:twoCellAnchor>
  <xdr:twoCellAnchor>
    <xdr:from>
      <xdr:col>25</xdr:col>
      <xdr:colOff>495300</xdr:colOff>
      <xdr:row>14</xdr:row>
      <xdr:rowOff>6350</xdr:rowOff>
    </xdr:from>
    <xdr:to>
      <xdr:col>29</xdr:col>
      <xdr:colOff>222250</xdr:colOff>
      <xdr:row>15</xdr:row>
      <xdr:rowOff>107950</xdr:rowOff>
    </xdr:to>
    <xdr:sp macro="" textlink="">
      <xdr:nvSpPr>
        <xdr:cNvPr id="66" name="TextBox 65">
          <a:extLst>
            <a:ext uri="{FF2B5EF4-FFF2-40B4-BE49-F238E27FC236}">
              <a16:creationId xmlns:a16="http://schemas.microsoft.com/office/drawing/2014/main" id="{B6766363-F3B2-92D3-718E-0AC5E7267D43}"/>
            </a:ext>
          </a:extLst>
        </xdr:cNvPr>
        <xdr:cNvSpPr txBox="1"/>
      </xdr:nvSpPr>
      <xdr:spPr>
        <a:xfrm>
          <a:off x="15735300" y="2584450"/>
          <a:ext cx="2165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Century" panose="02040604050505020304" pitchFamily="18" charset="0"/>
            </a:rPr>
            <a:t>Return on Marketing Investment</a:t>
          </a:r>
        </a:p>
      </xdr:txBody>
    </xdr:sp>
    <xdr:clientData/>
  </xdr:twoCellAnchor>
  <xdr:twoCellAnchor>
    <xdr:from>
      <xdr:col>26</xdr:col>
      <xdr:colOff>0</xdr:colOff>
      <xdr:row>15</xdr:row>
      <xdr:rowOff>152400</xdr:rowOff>
    </xdr:from>
    <xdr:to>
      <xdr:col>29</xdr:col>
      <xdr:colOff>107950</xdr:colOff>
      <xdr:row>18</xdr:row>
      <xdr:rowOff>127000</xdr:rowOff>
    </xdr:to>
    <xdr:sp macro="" textlink="'PivotTables and PivotCharts'!H7">
      <xdr:nvSpPr>
        <xdr:cNvPr id="67" name="TextBox 66">
          <a:extLst>
            <a:ext uri="{FF2B5EF4-FFF2-40B4-BE49-F238E27FC236}">
              <a16:creationId xmlns:a16="http://schemas.microsoft.com/office/drawing/2014/main" id="{C684B401-0FE6-3527-C7AA-FD98F7FED9E5}"/>
            </a:ext>
          </a:extLst>
        </xdr:cNvPr>
        <xdr:cNvSpPr txBox="1"/>
      </xdr:nvSpPr>
      <xdr:spPr>
        <a:xfrm>
          <a:off x="15849600" y="2914650"/>
          <a:ext cx="1936750" cy="527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66DB39-3891-4F11-A84D-6E8717A226D6}" type="TxLink">
            <a:rPr lang="en-US" sz="2400" b="1" i="0" u="none" strike="noStrike">
              <a:solidFill>
                <a:srgbClr val="000000"/>
              </a:solidFill>
              <a:latin typeface="Aptos Narrow"/>
            </a:rPr>
            <a:pPr algn="ctr"/>
            <a:t>40.20%</a:t>
          </a:fld>
          <a:endParaRPr lang="en-US" sz="2400" b="1"/>
        </a:p>
      </xdr:txBody>
    </xdr:sp>
    <xdr:clientData/>
  </xdr:twoCellAnchor>
  <xdr:twoCellAnchor editAs="oneCell">
    <xdr:from>
      <xdr:col>25</xdr:col>
      <xdr:colOff>507060</xdr:colOff>
      <xdr:row>15</xdr:row>
      <xdr:rowOff>9407</xdr:rowOff>
    </xdr:from>
    <xdr:to>
      <xdr:col>26</xdr:col>
      <xdr:colOff>270463</xdr:colOff>
      <xdr:row>17</xdr:row>
      <xdr:rowOff>15470</xdr:rowOff>
    </xdr:to>
    <xdr:pic>
      <xdr:nvPicPr>
        <xdr:cNvPr id="69" name="Picture 68">
          <a:extLst>
            <a:ext uri="{FF2B5EF4-FFF2-40B4-BE49-F238E27FC236}">
              <a16:creationId xmlns:a16="http://schemas.microsoft.com/office/drawing/2014/main" id="{6458FDC9-ED37-D394-7C21-DDEDEEB3A5A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794097" y="2831629"/>
          <a:ext cx="374885" cy="3823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692560069445" createdVersion="8" refreshedVersion="8" minRefreshableVersion="3" recordCount="308" xr:uid="{7F1770BF-3206-4455-AF94-4107DF3598B9}">
  <cacheSource type="worksheet">
    <worksheetSource name="Table1"/>
  </cacheSource>
  <cacheFields count="34">
    <cacheField name="Campaign_Id" numFmtId="0">
      <sharedItems containsSemiMixedTypes="0" containsString="0" containsNumber="1" containsInteger="1" minValue="10934" maxValue="89459845"/>
    </cacheField>
    <cacheField name="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Day" numFmtId="14">
      <sharedItems count="7">
        <s v="Monday"/>
        <s v="Tuesday"/>
        <s v="Wednesday"/>
        <s v="Thursday"/>
        <s v="Friday"/>
        <s v="Saturday"/>
        <s v="Sunday"/>
      </sharedItems>
    </cacheField>
    <cacheField name="Week" numFmtId="14">
      <sharedItems count="2">
        <s v="Weekday"/>
        <s v="Weekend"/>
      </sharedItems>
    </cacheField>
    <cacheField name="Campaign_Name" numFmtId="0">
      <sharedItems count="11">
        <s v="Facebook_Tier1"/>
        <s v="Facebook_Tier2"/>
        <s v="Google_Hot"/>
        <s v="Google_Wide"/>
        <s v="Youtube_Blogger"/>
        <s v="Instagram_Tier1"/>
        <s v="Instagram_Tier2"/>
        <s v="Facebook_Retargeting"/>
        <s v="Facebook_Lal"/>
        <s v="Instagram_Blogger"/>
        <s v="Banner_Partner"/>
      </sharedItems>
    </cacheField>
    <cacheField name="Campaign_Type" numFmtId="0">
      <sharedItems count="8">
        <s v="Tier1"/>
        <s v="Tier2"/>
        <s v="Hot"/>
        <s v="Wide"/>
        <s v="Blogger"/>
        <s v="Retargeting"/>
        <s v="Lal"/>
        <s v="Partner"/>
      </sharedItems>
    </cacheField>
    <cacheField name="Location" numFmtId="0">
      <sharedItems count="3">
        <s v="Tier1"/>
        <s v="Tier2"/>
        <s v="Not Applicable"/>
      </sharedItems>
    </cacheField>
    <cacheField name="Category" numFmtId="0">
      <sharedItems count="4">
        <s v="Social"/>
        <s v="Search"/>
        <s v="Influencer"/>
        <s v="Media"/>
      </sharedItems>
    </cacheField>
    <cacheField name="Market_Budget" numFmtId="165">
      <sharedItems containsSemiMixedTypes="0" containsString="0" containsNumber="1" minValue="169.75" maxValue="880357"/>
    </cacheField>
    <cacheField name="Impressions" numFmtId="3">
      <sharedItems containsSemiMixedTypes="0" containsString="0" containsNumber="1" containsInteger="1" minValue="667" maxValue="419970000"/>
    </cacheField>
    <cacheField name="Clicks" numFmtId="3">
      <sharedItems containsSemiMixedTypes="0" containsString="0" containsNumber="1" containsInteger="1" minValue="20" maxValue="61195"/>
    </cacheField>
    <cacheField name="Leads" numFmtId="3">
      <sharedItems containsSemiMixedTypes="0" containsString="0" containsNumber="1" containsInteger="1" minValue="0" maxValue="1678"/>
    </cacheField>
    <cacheField name="Orders" numFmtId="3">
      <sharedItems containsSemiMixedTypes="0" containsString="0" containsNumber="1" containsInteger="1" minValue="0" maxValue="369"/>
    </cacheField>
    <cacheField name="Revenue" numFmtId="164">
      <sharedItems containsSemiMixedTypes="0" containsString="0" containsNumber="1" containsInteger="1" minValue="0" maxValue="2812520"/>
    </cacheField>
    <cacheField name="CTR" numFmtId="10">
      <sharedItems containsSemiMixedTypes="0" containsString="0" containsNumber="1" minValue="7.9424768592833953E-5" maxValue="3.3555917176364962E-2"/>
    </cacheField>
    <cacheField name="Conversion1" numFmtId="10">
      <sharedItems containsSemiMixedTypes="0" containsString="0" containsNumber="1" minValue="0" maxValue="4.5454545454545456E-2"/>
    </cacheField>
    <cacheField name="Conversion1 (Grouped)" numFmtId="10">
      <sharedItems/>
    </cacheField>
    <cacheField name="Conversion2" numFmtId="10">
      <sharedItems containsSemiMixedTypes="0" containsString="0" containsNumber="1" minValue="0" maxValue="0.33333333333333331"/>
    </cacheField>
    <cacheField name="Conversion2 (Grouped)" numFmtId="10">
      <sharedItems count="2">
        <s v="Low"/>
        <s v="High"/>
      </sharedItems>
    </cacheField>
    <cacheField name="AOV" numFmtId="165">
      <sharedItems containsSemiMixedTypes="0" containsString="0" containsNumber="1" minValue="0" maxValue="8980"/>
    </cacheField>
    <cacheField name="CPC" numFmtId="165">
      <sharedItems containsSemiMixedTypes="0" containsString="0" containsNumber="1" minValue="4.3053293856402663E-2" maxValue="54.772954924874789"/>
    </cacheField>
    <cacheField name="CPL" numFmtId="165">
      <sharedItems containsSemiMixedTypes="0" containsString="0" containsNumber="1" minValue="0" maxValue="1694.8591549295775"/>
    </cacheField>
    <cacheField name="CAC" numFmtId="165">
      <sharedItems containsSemiMixedTypes="0" containsString="0" containsNumber="1" minValue="0" maxValue="10104.9"/>
    </cacheField>
    <cacheField name="ROMI" numFmtId="0">
      <sharedItems containsSemiMixedTypes="0" containsString="0" containsNumber="1" minValue="-1" maxValue="5.593987313049003"/>
    </cacheField>
    <cacheField name="Gross Profit/Loss" numFmtId="164">
      <sharedItems containsSemiMixedTypes="0" containsString="0" containsNumber="1" minValue="-360030" maxValue="1932163"/>
    </cacheField>
    <cacheField name="Budget" numFmtId="0" formula=" SUM(Market_Budget)" databaseField="0"/>
    <cacheField name="Average Order Value" numFmtId="0" formula="SUM(Revenue)/SUM(Orders)" databaseField="0"/>
    <cacheField name="Cost Per Click" numFmtId="0" formula="SUM(Market_Budget)/SUM(Clicks)" databaseField="0"/>
    <cacheField name="Cost Per Lead" numFmtId="0" formula="SUM(Market_Budget)/SUM(Leads)" databaseField="0"/>
    <cacheField name="Customer Acquisition Cost" numFmtId="0" formula="SUM(Market_Budget)/SUM(Orders)" databaseField="0"/>
    <cacheField name="Conversion Rate 1" numFmtId="0" formula="SUM(Leads)/SUM(Clicks)" databaseField="0"/>
    <cacheField name="Gross Profit and Loss" numFmtId="0" formula="SUM('Gross Profit/Loss')" databaseField="0"/>
    <cacheField name="Return on MI" numFmtId="0" formula="(SUM(Revenue)-SUM(Market_Budget))/SUM(Market_Budget)" databaseField="0"/>
    <cacheField name="Conversion Rate 2" numFmtId="0" formula=" SUM(Orders)/SUM(Leads)" databaseField="0"/>
  </cacheFields>
  <extLst>
    <ext xmlns:x14="http://schemas.microsoft.com/office/spreadsheetml/2009/9/main" uri="{725AE2AE-9491-48be-B2B4-4EB974FC3084}">
      <x14:pivotCacheDefinition pivotCacheId="1027257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349043"/>
    <x v="0"/>
    <x v="0"/>
    <x v="0"/>
    <x v="0"/>
    <x v="0"/>
    <x v="0"/>
    <x v="0"/>
    <n v="7307.37"/>
    <n v="148263"/>
    <n v="1210"/>
    <n v="13"/>
    <n v="1"/>
    <n v="4981"/>
    <n v="8.1611730505925274E-3"/>
    <n v="1.0743801652892562E-2"/>
    <s v="Low"/>
    <n v="7.6923076923076927E-2"/>
    <x v="0"/>
    <n v="4981"/>
    <n v="6.039148760330578"/>
    <n v="562.10538461538465"/>
    <n v="7307.37"/>
    <n v="-0.31835940974659827"/>
    <n v="-2326.37"/>
  </r>
  <r>
    <n v="348934"/>
    <x v="0"/>
    <x v="0"/>
    <x v="0"/>
    <x v="1"/>
    <x v="1"/>
    <x v="1"/>
    <x v="0"/>
    <n v="16300.2"/>
    <n v="220688"/>
    <n v="1640"/>
    <n v="48"/>
    <n v="3"/>
    <n v="14962"/>
    <n v="7.4313057347930112E-3"/>
    <n v="2.9268292682926831E-2"/>
    <s v="High"/>
    <n v="6.25E-2"/>
    <x v="0"/>
    <n v="4987.333333333333"/>
    <n v="9.9391463414634149"/>
    <n v="339.58750000000003"/>
    <n v="5433.4000000000005"/>
    <n v="-8.209715218218186E-2"/>
    <n v="-1338.2000000000007"/>
  </r>
  <r>
    <n v="89459845"/>
    <x v="0"/>
    <x v="0"/>
    <x v="0"/>
    <x v="2"/>
    <x v="2"/>
    <x v="2"/>
    <x v="1"/>
    <n v="5221.6000000000004"/>
    <n v="22850"/>
    <n v="457"/>
    <n v="9"/>
    <n v="1"/>
    <n v="7981"/>
    <n v="0.02"/>
    <n v="1.9693654266958426E-2"/>
    <s v="Low"/>
    <n v="0.1111111111111111"/>
    <x v="0"/>
    <n v="7981"/>
    <n v="11.42582056892779"/>
    <n v="580.17777777777781"/>
    <n v="5221.6000000000004"/>
    <n v="0.52845870997395428"/>
    <n v="2759.3999999999996"/>
  </r>
  <r>
    <n v="127823"/>
    <x v="0"/>
    <x v="0"/>
    <x v="0"/>
    <x v="3"/>
    <x v="3"/>
    <x v="2"/>
    <x v="1"/>
    <n v="6037"/>
    <n v="147038"/>
    <n v="1196"/>
    <n v="24"/>
    <n v="1"/>
    <n v="2114"/>
    <n v="8.1339517675702872E-3"/>
    <n v="2.0066889632107024E-2"/>
    <s v="High"/>
    <n v="4.1666666666666664E-2"/>
    <x v="0"/>
    <n v="2114"/>
    <n v="5.0476588628762542"/>
    <n v="251.54166666666666"/>
    <n v="6037"/>
    <n v="-0.64982607255259239"/>
    <n v="-3923"/>
  </r>
  <r>
    <n v="10934"/>
    <x v="0"/>
    <x v="0"/>
    <x v="0"/>
    <x v="4"/>
    <x v="4"/>
    <x v="2"/>
    <x v="2"/>
    <n v="29962.2"/>
    <n v="225800"/>
    <n v="2258"/>
    <n v="49"/>
    <n v="10"/>
    <n v="84490"/>
    <n v="0.01"/>
    <n v="2.1700620017714792E-2"/>
    <s v="High"/>
    <n v="0.20408163265306123"/>
    <x v="1"/>
    <n v="8449"/>
    <n v="13.269353410097432"/>
    <n v="611.47346938775513"/>
    <n v="2996.2200000000003"/>
    <n v="1.8198863901849665"/>
    <n v="54527.8"/>
  </r>
  <r>
    <n v="9034945"/>
    <x v="0"/>
    <x v="0"/>
    <x v="0"/>
    <x v="5"/>
    <x v="0"/>
    <x v="0"/>
    <x v="0"/>
    <n v="9540.01"/>
    <n v="444857"/>
    <n v="1342"/>
    <n v="27"/>
    <n v="3"/>
    <n v="17943"/>
    <n v="3.0166997484584934E-3"/>
    <n v="2.0119225037257823E-2"/>
    <s v="High"/>
    <n v="0.1111111111111111"/>
    <x v="0"/>
    <n v="5981"/>
    <n v="7.1088002980625937"/>
    <n v="353.33370370370369"/>
    <n v="3180.0033333333336"/>
    <n v="0.8808156385580308"/>
    <n v="8402.99"/>
  </r>
  <r>
    <n v="983498"/>
    <x v="0"/>
    <x v="0"/>
    <x v="0"/>
    <x v="6"/>
    <x v="1"/>
    <x v="1"/>
    <x v="0"/>
    <n v="3648.9"/>
    <n v="511200"/>
    <n v="2556"/>
    <n v="94"/>
    <n v="1"/>
    <n v="1981"/>
    <n v="5.0000000000000001E-3"/>
    <n v="3.6776212832550864E-2"/>
    <s v="High"/>
    <n v="1.0638297872340425E-2"/>
    <x v="0"/>
    <n v="1981"/>
    <n v="1.4275821596244131"/>
    <n v="38.818085106382981"/>
    <n v="3648.9"/>
    <n v="-0.45709665926717641"/>
    <n v="-1667.9"/>
  </r>
  <r>
    <n v="4387490"/>
    <x v="0"/>
    <x v="0"/>
    <x v="0"/>
    <x v="7"/>
    <x v="5"/>
    <x v="2"/>
    <x v="0"/>
    <n v="1293.55"/>
    <n v="5544"/>
    <n v="148"/>
    <n v="3"/>
    <n v="1"/>
    <n v="4981"/>
    <n v="2.6695526695526696E-2"/>
    <n v="2.0270270270270271E-2"/>
    <s v="High"/>
    <n v="0.33333333333333331"/>
    <x v="1"/>
    <n v="4981"/>
    <n v="8.7402027027027032"/>
    <n v="431.18333333333334"/>
    <n v="1293.55"/>
    <n v="2.8506435777511498"/>
    <n v="3687.45"/>
  </r>
  <r>
    <n v="544756"/>
    <x v="0"/>
    <x v="0"/>
    <x v="0"/>
    <x v="8"/>
    <x v="6"/>
    <x v="2"/>
    <x v="0"/>
    <n v="16997.8"/>
    <n v="56916"/>
    <n v="596"/>
    <n v="14"/>
    <n v="2"/>
    <n v="4162"/>
    <n v="1.0471572141401363E-2"/>
    <n v="2.3489932885906041E-2"/>
    <s v="High"/>
    <n v="0.14285714285714285"/>
    <x v="0"/>
    <n v="2081"/>
    <n v="28.51979865771812"/>
    <n v="1214.1285714285714"/>
    <n v="8498.9"/>
    <n v="-0.75514478344256319"/>
    <n v="-12835.8"/>
  </r>
  <r>
    <n v="374754"/>
    <x v="0"/>
    <x v="0"/>
    <x v="0"/>
    <x v="9"/>
    <x v="4"/>
    <x v="2"/>
    <x v="2"/>
    <n v="23604.1"/>
    <n v="120436"/>
    <n v="1498"/>
    <n v="49"/>
    <n v="7"/>
    <n v="39081"/>
    <n v="1.2438141419509116E-2"/>
    <n v="3.2710280373831772E-2"/>
    <s v="High"/>
    <n v="0.14285714285714285"/>
    <x v="0"/>
    <n v="5583"/>
    <n v="15.757076101468623"/>
    <n v="481.71632653061221"/>
    <n v="3372.0142857142855"/>
    <n v="0.65568693574421399"/>
    <n v="15476.900000000001"/>
  </r>
  <r>
    <n v="39889"/>
    <x v="0"/>
    <x v="0"/>
    <x v="0"/>
    <x v="10"/>
    <x v="7"/>
    <x v="2"/>
    <x v="3"/>
    <n v="931.99"/>
    <n v="20900000"/>
    <n v="2090"/>
    <n v="3"/>
    <n v="0"/>
    <n v="0"/>
    <n v="1E-4"/>
    <n v="1.4354066985645933E-3"/>
    <s v="Low"/>
    <n v="0"/>
    <x v="0"/>
    <n v="0"/>
    <n v="0.44592822966507178"/>
    <n v="310.66333333333336"/>
    <n v="0"/>
    <n v="-1"/>
    <n v="-931.99"/>
  </r>
  <r>
    <n v="349043"/>
    <x v="1"/>
    <x v="1"/>
    <x v="0"/>
    <x v="0"/>
    <x v="0"/>
    <x v="0"/>
    <x v="0"/>
    <n v="18385.3"/>
    <n v="478200"/>
    <n v="2391"/>
    <n v="48"/>
    <n v="4"/>
    <n v="17812"/>
    <n v="5.0000000000000001E-3"/>
    <n v="2.0075282308657464E-2"/>
    <s v="High"/>
    <n v="8.3333333333333329E-2"/>
    <x v="0"/>
    <n v="4453"/>
    <n v="7.6893768297783351"/>
    <n v="383.02708333333334"/>
    <n v="4596.3249999999998"/>
    <n v="-3.1182520818262376E-2"/>
    <n v="-573.29999999999927"/>
  </r>
  <r>
    <n v="348934"/>
    <x v="1"/>
    <x v="1"/>
    <x v="0"/>
    <x v="1"/>
    <x v="1"/>
    <x v="1"/>
    <x v="0"/>
    <n v="2198.0500000000002"/>
    <n v="957806"/>
    <n v="3294"/>
    <n v="10"/>
    <n v="0"/>
    <n v="0"/>
    <n v="3.4391097988527948E-3"/>
    <n v="3.0358227079538553E-3"/>
    <s v="Low"/>
    <n v="0"/>
    <x v="0"/>
    <n v="0"/>
    <n v="0.66728901032179722"/>
    <n v="219.80500000000001"/>
    <n v="0"/>
    <n v="-1"/>
    <n v="-2198.0500000000002"/>
  </r>
  <r>
    <n v="89459845"/>
    <x v="1"/>
    <x v="1"/>
    <x v="0"/>
    <x v="2"/>
    <x v="2"/>
    <x v="2"/>
    <x v="1"/>
    <n v="11446.7"/>
    <n v="43806"/>
    <n v="907"/>
    <n v="18"/>
    <n v="3"/>
    <n v="23943"/>
    <n v="2.0704926265808336E-2"/>
    <n v="1.9845644983461964E-2"/>
    <s v="Low"/>
    <n v="0.16666666666666666"/>
    <x v="1"/>
    <n v="7981"/>
    <n v="12.62039691289967"/>
    <n v="635.92777777777781"/>
    <n v="3815.5666666666671"/>
    <n v="1.0916945495208226"/>
    <n v="12496.3"/>
  </r>
  <r>
    <n v="127823"/>
    <x v="1"/>
    <x v="1"/>
    <x v="0"/>
    <x v="3"/>
    <x v="3"/>
    <x v="2"/>
    <x v="1"/>
    <n v="15153.6"/>
    <n v="314704"/>
    <n v="2395"/>
    <n v="39"/>
    <n v="4"/>
    <n v="12540"/>
    <n v="7.6103258935380546E-3"/>
    <n v="1.6283924843423801E-2"/>
    <s v="Low"/>
    <n v="0.10256410256410256"/>
    <x v="0"/>
    <n v="3135"/>
    <n v="6.3271816283924842"/>
    <n v="388.55384615384617"/>
    <n v="3788.4"/>
    <n v="-0.17247386759581884"/>
    <n v="-2613.6000000000004"/>
  </r>
  <r>
    <n v="10934"/>
    <x v="1"/>
    <x v="1"/>
    <x v="0"/>
    <x v="4"/>
    <x v="4"/>
    <x v="2"/>
    <x v="2"/>
    <n v="42301.1"/>
    <n v="449200"/>
    <n v="4492"/>
    <n v="85"/>
    <n v="17"/>
    <n v="149141"/>
    <n v="0.01"/>
    <n v="1.8922528940338381E-2"/>
    <s v="Low"/>
    <n v="0.2"/>
    <x v="1"/>
    <n v="8773"/>
    <n v="9.416985752448797"/>
    <n v="497.65999999999997"/>
    <n v="2488.2999999999997"/>
    <n v="2.5257002772977533"/>
    <n v="106839.9"/>
  </r>
  <r>
    <n v="9034945"/>
    <x v="1"/>
    <x v="1"/>
    <x v="0"/>
    <x v="5"/>
    <x v="0"/>
    <x v="0"/>
    <x v="0"/>
    <n v="29081.1"/>
    <n v="540200"/>
    <n v="2701"/>
    <n v="54"/>
    <n v="9"/>
    <n v="45585"/>
    <n v="5.0000000000000001E-3"/>
    <n v="1.9992595335061088E-2"/>
    <s v="Low"/>
    <n v="0.16666666666666666"/>
    <x v="1"/>
    <n v="5065"/>
    <n v="10.766790077748981"/>
    <n v="538.53888888888889"/>
    <n v="3231.2333333333331"/>
    <n v="0.56751292076296989"/>
    <n v="16503.900000000001"/>
  </r>
  <r>
    <n v="983498"/>
    <x v="1"/>
    <x v="1"/>
    <x v="0"/>
    <x v="6"/>
    <x v="1"/>
    <x v="1"/>
    <x v="0"/>
    <n v="1421.34"/>
    <n v="1020800"/>
    <n v="5104"/>
    <n v="14"/>
    <n v="0"/>
    <n v="0"/>
    <n v="5.0000000000000001E-3"/>
    <n v="2.7429467084639498E-3"/>
    <s v="Low"/>
    <n v="0"/>
    <x v="0"/>
    <n v="0"/>
    <n v="0.27847570532915361"/>
    <n v="101.52428571428571"/>
    <n v="0"/>
    <n v="-1"/>
    <n v="-1421.34"/>
  </r>
  <r>
    <n v="4387490"/>
    <x v="1"/>
    <x v="1"/>
    <x v="0"/>
    <x v="7"/>
    <x v="5"/>
    <x v="2"/>
    <x v="0"/>
    <n v="169.75"/>
    <n v="10033"/>
    <n v="301"/>
    <n v="0"/>
    <n v="0"/>
    <n v="0"/>
    <n v="3.000099671085418E-2"/>
    <n v="0"/>
    <s v="Low"/>
    <n v="0"/>
    <x v="0"/>
    <n v="0"/>
    <n v="0.56395348837209303"/>
    <n v="0"/>
    <n v="0"/>
    <n v="-1"/>
    <n v="-169.75"/>
  </r>
  <r>
    <n v="544756"/>
    <x v="1"/>
    <x v="1"/>
    <x v="0"/>
    <x v="8"/>
    <x v="6"/>
    <x v="2"/>
    <x v="0"/>
    <n v="8829.07"/>
    <n v="107553"/>
    <n v="1196"/>
    <n v="7"/>
    <n v="1"/>
    <n v="1129"/>
    <n v="1.1120098927970397E-2"/>
    <n v="5.8528428093645481E-3"/>
    <s v="Low"/>
    <n v="0.14285714285714285"/>
    <x v="0"/>
    <n v="1129"/>
    <n v="7.3821655518394644"/>
    <n v="1261.2957142857142"/>
    <n v="8829.07"/>
    <n v="-0.87212696240940435"/>
    <n v="-7700.07"/>
  </r>
  <r>
    <n v="374754"/>
    <x v="1"/>
    <x v="1"/>
    <x v="0"/>
    <x v="9"/>
    <x v="4"/>
    <x v="2"/>
    <x v="2"/>
    <n v="13919.1"/>
    <n v="299600"/>
    <n v="2996"/>
    <n v="19"/>
    <n v="3"/>
    <n v="14466"/>
    <n v="0.01"/>
    <n v="6.3417890520694256E-3"/>
    <s v="Low"/>
    <n v="0.15789473684210525"/>
    <x v="1"/>
    <n v="4822"/>
    <n v="4.6458945260347129"/>
    <n v="732.58421052631581"/>
    <n v="4639.7"/>
    <n v="3.9291333491389503E-2"/>
    <n v="546.89999999999964"/>
  </r>
  <r>
    <n v="39889"/>
    <x v="1"/>
    <x v="1"/>
    <x v="0"/>
    <x v="10"/>
    <x v="7"/>
    <x v="2"/>
    <x v="3"/>
    <n v="46159.8"/>
    <n v="42000000"/>
    <n v="4200"/>
    <n v="92"/>
    <n v="13"/>
    <n v="51753"/>
    <n v="1E-4"/>
    <n v="2.1904761904761906E-2"/>
    <s v="High"/>
    <n v="0.14130434782608695"/>
    <x v="0"/>
    <n v="3981"/>
    <n v="10.990428571428572"/>
    <n v="501.73695652173916"/>
    <n v="3550.7538461538466"/>
    <n v="0.12117036902239604"/>
    <n v="5593.1999999999971"/>
  </r>
  <r>
    <n v="349043"/>
    <x v="2"/>
    <x v="2"/>
    <x v="0"/>
    <x v="0"/>
    <x v="0"/>
    <x v="0"/>
    <x v="0"/>
    <n v="65284.4"/>
    <n v="2313889"/>
    <n v="7197"/>
    <n v="115"/>
    <n v="13"/>
    <n v="72527"/>
    <n v="3.1103479898992562E-3"/>
    <n v="1.597888008892594E-2"/>
    <s v="Low"/>
    <n v="0.11304347826086956"/>
    <x v="0"/>
    <n v="5579"/>
    <n v="9.0710573850215361"/>
    <n v="567.69043478260869"/>
    <n v="5021.876923076923"/>
    <n v="0.11093921365594228"/>
    <n v="7242.5999999999985"/>
  </r>
  <r>
    <n v="348934"/>
    <x v="2"/>
    <x v="2"/>
    <x v="0"/>
    <x v="1"/>
    <x v="1"/>
    <x v="1"/>
    <x v="0"/>
    <n v="78958.3"/>
    <n v="1105666"/>
    <n v="9898"/>
    <n v="226"/>
    <n v="12"/>
    <n v="59772"/>
    <n v="8.9520705167745046E-3"/>
    <n v="2.2832895534451406E-2"/>
    <s v="High"/>
    <n v="5.3097345132743362E-2"/>
    <x v="0"/>
    <n v="4981"/>
    <n v="7.9771974136189128"/>
    <n v="349.37300884955755"/>
    <n v="6579.8583333333336"/>
    <n v="-0.24299282026082125"/>
    <n v="-19186.300000000003"/>
  </r>
  <r>
    <n v="89459845"/>
    <x v="2"/>
    <x v="2"/>
    <x v="0"/>
    <x v="2"/>
    <x v="2"/>
    <x v="2"/>
    <x v="1"/>
    <n v="77345.5"/>
    <n v="134900"/>
    <n v="2698"/>
    <n v="84"/>
    <n v="16"/>
    <n v="115856"/>
    <n v="0.02"/>
    <n v="3.1134173461823574E-2"/>
    <s v="High"/>
    <n v="0.19047619047619047"/>
    <x v="1"/>
    <n v="7241"/>
    <n v="28.667716827279467"/>
    <n v="920.77976190476193"/>
    <n v="4834.09375"/>
    <n v="0.49790226968601925"/>
    <n v="38510.5"/>
  </r>
  <r>
    <n v="127823"/>
    <x v="2"/>
    <x v="2"/>
    <x v="0"/>
    <x v="3"/>
    <x v="3"/>
    <x v="2"/>
    <x v="1"/>
    <n v="49498.9"/>
    <n v="4371854"/>
    <n v="7207"/>
    <n v="144"/>
    <n v="13"/>
    <n v="38753"/>
    <n v="1.6484996982973356E-3"/>
    <n v="1.9980574441515193E-2"/>
    <s v="Low"/>
    <n v="9.0277777777777776E-2"/>
    <x v="0"/>
    <n v="2981"/>
    <n v="6.8681698348827531"/>
    <n v="343.74236111111111"/>
    <n v="3807.6076923076926"/>
    <n v="-0.21709371319362655"/>
    <n v="-10745.900000000001"/>
  </r>
  <r>
    <n v="10934"/>
    <x v="2"/>
    <x v="2"/>
    <x v="0"/>
    <x v="4"/>
    <x v="4"/>
    <x v="2"/>
    <x v="2"/>
    <n v="189341"/>
    <n v="1035261"/>
    <n v="13503"/>
    <n v="455"/>
    <n v="91"/>
    <n v="772499"/>
    <n v="1.3043087685134474E-2"/>
    <n v="3.3696215655780196E-2"/>
    <s v="High"/>
    <n v="0.2"/>
    <x v="1"/>
    <n v="8489"/>
    <n v="14.022143227430941"/>
    <n v="416.13406593406592"/>
    <n v="2080.6703296703295"/>
    <n v="3.0799351434713031"/>
    <n v="583158"/>
  </r>
  <r>
    <n v="9034945"/>
    <x v="2"/>
    <x v="2"/>
    <x v="0"/>
    <x v="5"/>
    <x v="0"/>
    <x v="0"/>
    <x v="0"/>
    <n v="62509.8"/>
    <n v="1618600"/>
    <n v="8093"/>
    <n v="166"/>
    <n v="15"/>
    <n v="84600"/>
    <n v="5.0000000000000001E-3"/>
    <n v="2.0511553194118372E-2"/>
    <s v="High"/>
    <n v="9.036144578313253E-2"/>
    <x v="0"/>
    <n v="5640"/>
    <n v="7.7239342641789204"/>
    <n v="376.56506024096387"/>
    <n v="4167.3200000000006"/>
    <n v="0.35338778879471694"/>
    <n v="22090.199999999997"/>
  </r>
  <r>
    <n v="983498"/>
    <x v="2"/>
    <x v="2"/>
    <x v="0"/>
    <x v="6"/>
    <x v="1"/>
    <x v="1"/>
    <x v="0"/>
    <n v="94399.9"/>
    <n v="3059600"/>
    <n v="15298"/>
    <n v="592"/>
    <n v="36"/>
    <n v="104184"/>
    <n v="5.0000000000000001E-3"/>
    <n v="3.8697869002483988E-2"/>
    <s v="High"/>
    <n v="6.0810810810810814E-2"/>
    <x v="0"/>
    <n v="2894"/>
    <n v="6.170734736566871"/>
    <n v="159.45929054054054"/>
    <n v="2622.2194444444444"/>
    <n v="0.10364523691232731"/>
    <n v="9784.1000000000058"/>
  </r>
  <r>
    <n v="4387490"/>
    <x v="2"/>
    <x v="2"/>
    <x v="0"/>
    <x v="7"/>
    <x v="5"/>
    <x v="2"/>
    <x v="0"/>
    <n v="5039.51"/>
    <n v="29867"/>
    <n v="896"/>
    <n v="18"/>
    <n v="4"/>
    <n v="23560"/>
    <n v="2.9999665182308233E-2"/>
    <n v="2.0089285714285716E-2"/>
    <s v="High"/>
    <n v="0.22222222222222221"/>
    <x v="1"/>
    <n v="5890"/>
    <n v="5.6244531250000005"/>
    <n v="279.97277777777776"/>
    <n v="1259.8775000000001"/>
    <n v="3.6750576941012119"/>
    <n v="18520.489999999998"/>
  </r>
  <r>
    <n v="544756"/>
    <x v="2"/>
    <x v="2"/>
    <x v="0"/>
    <x v="8"/>
    <x v="6"/>
    <x v="2"/>
    <x v="0"/>
    <n v="76716.399999999994"/>
    <n v="295009"/>
    <n v="3595"/>
    <n v="72"/>
    <n v="9"/>
    <n v="5607"/>
    <n v="1.2186068899592895E-2"/>
    <n v="2.0027816411682893E-2"/>
    <s v="High"/>
    <n v="0.125"/>
    <x v="0"/>
    <n v="623"/>
    <n v="21.339749652294852"/>
    <n v="1065.5055555555555"/>
    <n v="8524.0444444444438"/>
    <n v="-0.92691262885119741"/>
    <n v="-71109.399999999994"/>
  </r>
  <r>
    <n v="374754"/>
    <x v="2"/>
    <x v="2"/>
    <x v="0"/>
    <x v="9"/>
    <x v="4"/>
    <x v="2"/>
    <x v="2"/>
    <n v="194336"/>
    <n v="667352"/>
    <n v="8996"/>
    <n v="342"/>
    <n v="51"/>
    <n v="254031"/>
    <n v="1.3480142413598821E-2"/>
    <n v="3.8016896398399287E-2"/>
    <s v="High"/>
    <n v="0.14912280701754385"/>
    <x v="0"/>
    <n v="4981"/>
    <n v="21.602489995553579"/>
    <n v="568.23391812865498"/>
    <n v="3810.5098039215686"/>
    <n v="0.30717417256710028"/>
    <n v="59695"/>
  </r>
  <r>
    <n v="39889"/>
    <x v="2"/>
    <x v="2"/>
    <x v="0"/>
    <x v="10"/>
    <x v="7"/>
    <x v="2"/>
    <x v="3"/>
    <n v="29378.3"/>
    <n v="125910000"/>
    <n v="12591"/>
    <n v="68"/>
    <n v="13"/>
    <n v="51753"/>
    <n v="1E-4"/>
    <n v="5.4006830275593679E-3"/>
    <s v="Low"/>
    <n v="0.19117647058823528"/>
    <x v="1"/>
    <n v="3981"/>
    <n v="2.3332777380668732"/>
    <n v="432.03382352941173"/>
    <n v="2259.8692307692309"/>
    <n v="0.76160635571152857"/>
    <n v="22374.7"/>
  </r>
  <r>
    <n v="349043"/>
    <x v="3"/>
    <x v="3"/>
    <x v="0"/>
    <x v="0"/>
    <x v="0"/>
    <x v="0"/>
    <x v="0"/>
    <n v="173914"/>
    <n v="2475754"/>
    <n v="9601"/>
    <n v="192"/>
    <n v="31"/>
    <n v="154411"/>
    <n v="3.8780104970041452E-3"/>
    <n v="1.9997916883657953E-2"/>
    <s v="Low"/>
    <n v="0.16145833333333334"/>
    <x v="1"/>
    <n v="4981"/>
    <n v="18.114154775544215"/>
    <n v="905.80208333333337"/>
    <n v="5610.1290322580644"/>
    <n v="-0.11214163322101728"/>
    <n v="-19503"/>
  </r>
  <r>
    <n v="348934"/>
    <x v="3"/>
    <x v="3"/>
    <x v="0"/>
    <x v="1"/>
    <x v="1"/>
    <x v="1"/>
    <x v="0"/>
    <n v="115389"/>
    <n v="4597702"/>
    <n v="13206"/>
    <n v="143"/>
    <n v="17"/>
    <n v="82909"/>
    <n v="2.8723044686236733E-3"/>
    <n v="1.0828411328184158E-2"/>
    <s v="Low"/>
    <n v="0.11888111888111888"/>
    <x v="0"/>
    <n v="4877"/>
    <n v="8.737619263970922"/>
    <n v="806.91608391608395"/>
    <n v="6787.588235294118"/>
    <n v="-0.28148263699312759"/>
    <n v="-32480"/>
  </r>
  <r>
    <n v="89459845"/>
    <x v="3"/>
    <x v="3"/>
    <x v="0"/>
    <x v="2"/>
    <x v="2"/>
    <x v="2"/>
    <x v="1"/>
    <n v="41269.599999999999"/>
    <n v="196484"/>
    <n v="3599"/>
    <n v="55"/>
    <n v="9"/>
    <n v="68589"/>
    <n v="1.8317013090124387E-2"/>
    <n v="1.5282022784106696E-2"/>
    <s v="Low"/>
    <n v="0.16363636363636364"/>
    <x v="1"/>
    <n v="7621"/>
    <n v="11.466963045290358"/>
    <n v="750.35636363636365"/>
    <n v="4585.5111111111109"/>
    <n v="0.66197394692461287"/>
    <n v="27319.4"/>
  </r>
  <r>
    <n v="127823"/>
    <x v="3"/>
    <x v="3"/>
    <x v="0"/>
    <x v="3"/>
    <x v="3"/>
    <x v="2"/>
    <x v="1"/>
    <n v="60108.800000000003"/>
    <n v="1531679"/>
    <n v="9591"/>
    <n v="234"/>
    <n v="17"/>
    <n v="58990"/>
    <n v="6.2617558901049107E-3"/>
    <n v="2.4397873005943073E-2"/>
    <s v="High"/>
    <n v="7.2649572649572655E-2"/>
    <x v="0"/>
    <n v="3470"/>
    <n v="6.267208841622355"/>
    <n v="256.87521367521367"/>
    <n v="3535.8117647058825"/>
    <n v="-1.8612915247018788E-2"/>
    <n v="-1118.8000000000029"/>
  </r>
  <r>
    <n v="10934"/>
    <x v="3"/>
    <x v="3"/>
    <x v="0"/>
    <x v="4"/>
    <x v="4"/>
    <x v="2"/>
    <x v="2"/>
    <n v="185263"/>
    <n v="2120555"/>
    <n v="17993"/>
    <n v="445"/>
    <n v="89"/>
    <n v="624958"/>
    <n v="8.4850428307683603E-3"/>
    <n v="2.4731840160062246E-2"/>
    <s v="High"/>
    <n v="0.2"/>
    <x v="1"/>
    <n v="7022"/>
    <n v="10.296393041738455"/>
    <n v="416.32134831460672"/>
    <n v="2081.6067415730336"/>
    <n v="2.3733557159281671"/>
    <n v="439695"/>
  </r>
  <r>
    <n v="9034945"/>
    <x v="3"/>
    <x v="3"/>
    <x v="0"/>
    <x v="5"/>
    <x v="0"/>
    <x v="0"/>
    <x v="0"/>
    <n v="104028"/>
    <n v="1322751"/>
    <n v="10794"/>
    <n v="238"/>
    <n v="27"/>
    <n v="179037"/>
    <n v="8.1602659911049012E-3"/>
    <n v="2.2049286640726331E-2"/>
    <s v="High"/>
    <n v="0.1134453781512605"/>
    <x v="0"/>
    <n v="6631"/>
    <n v="9.6375764313507499"/>
    <n v="437.0924369747899"/>
    <n v="3852.8888888888887"/>
    <n v="0.72104625677702161"/>
    <n v="75009"/>
  </r>
  <r>
    <n v="983498"/>
    <x v="3"/>
    <x v="3"/>
    <x v="0"/>
    <x v="6"/>
    <x v="1"/>
    <x v="1"/>
    <x v="0"/>
    <n v="40119.199999999997"/>
    <n v="3008227"/>
    <n v="20392"/>
    <n v="408"/>
    <n v="12"/>
    <n v="23772"/>
    <n v="6.7787437583666389E-3"/>
    <n v="2.0007846214201649E-2"/>
    <s v="High"/>
    <n v="2.9411764705882353E-2"/>
    <x v="0"/>
    <n v="1981"/>
    <n v="1.9673989799921536"/>
    <n v="98.331372549019605"/>
    <n v="3343.2666666666664"/>
    <n v="-0.40746575205886454"/>
    <n v="-16347.199999999997"/>
  </r>
  <r>
    <n v="4387490"/>
    <x v="3"/>
    <x v="3"/>
    <x v="0"/>
    <x v="7"/>
    <x v="5"/>
    <x v="2"/>
    <x v="0"/>
    <n v="885.75"/>
    <n v="43160"/>
    <n v="1194"/>
    <n v="4"/>
    <n v="1"/>
    <n v="5287"/>
    <n v="2.7664504170528268E-2"/>
    <n v="3.3500837520938024E-3"/>
    <s v="Low"/>
    <n v="0.25"/>
    <x v="1"/>
    <n v="5287"/>
    <n v="0.74183417085427139"/>
    <n v="221.4375"/>
    <n v="885.75"/>
    <n v="4.9689528648038381"/>
    <n v="4401.25"/>
  </r>
  <r>
    <n v="544756"/>
    <x v="3"/>
    <x v="3"/>
    <x v="0"/>
    <x v="8"/>
    <x v="6"/>
    <x v="2"/>
    <x v="0"/>
    <n v="120335"/>
    <n v="432611"/>
    <n v="4807"/>
    <n v="71"/>
    <n v="13"/>
    <n v="6864"/>
    <n v="1.1111599104044974E-2"/>
    <n v="1.4770126898273351E-2"/>
    <s v="Low"/>
    <n v="0.18309859154929578"/>
    <x v="1"/>
    <n v="528"/>
    <n v="25.033284793010193"/>
    <n v="1694.8591549295775"/>
    <n v="9256.538461538461"/>
    <n v="-0.94295923879170651"/>
    <n v="-113471"/>
  </r>
  <r>
    <n v="374754"/>
    <x v="3"/>
    <x v="3"/>
    <x v="0"/>
    <x v="9"/>
    <x v="4"/>
    <x v="2"/>
    <x v="2"/>
    <n v="149279"/>
    <n v="1199300"/>
    <n v="11993"/>
    <n v="267"/>
    <n v="38"/>
    <n v="224542"/>
    <n v="0.01"/>
    <n v="2.2262986742266323E-2"/>
    <s v="High"/>
    <n v="0.14232209737827714"/>
    <x v="0"/>
    <n v="5909"/>
    <n v="12.447177520220128"/>
    <n v="559.09737827715355"/>
    <n v="3928.3947368421054"/>
    <n v="0.50417674287743086"/>
    <n v="75263"/>
  </r>
  <r>
    <n v="39889"/>
    <x v="3"/>
    <x v="3"/>
    <x v="0"/>
    <x v="10"/>
    <x v="7"/>
    <x v="2"/>
    <x v="3"/>
    <n v="177746"/>
    <n v="41924802"/>
    <n v="16806"/>
    <n v="336"/>
    <n v="60"/>
    <n v="204540"/>
    <n v="4.0086056935939731E-4"/>
    <n v="1.9992859692966797E-2"/>
    <s v="Low"/>
    <n v="0.17857142857142858"/>
    <x v="1"/>
    <n v="3409"/>
    <n v="10.576341782696655"/>
    <n v="529.00595238095241"/>
    <n v="2962.4333333333334"/>
    <n v="0.15074319534616812"/>
    <n v="26794"/>
  </r>
  <r>
    <n v="349043"/>
    <x v="4"/>
    <x v="4"/>
    <x v="0"/>
    <x v="0"/>
    <x v="0"/>
    <x v="0"/>
    <x v="0"/>
    <n v="90691.7"/>
    <n v="3462883"/>
    <n v="11997"/>
    <n v="143"/>
    <n v="17"/>
    <n v="84677"/>
    <n v="3.4644543289507617E-3"/>
    <n v="1.1919646578311245E-2"/>
    <s v="Low"/>
    <n v="0.11888111888111888"/>
    <x v="0"/>
    <n v="4981"/>
    <n v="7.5595315495540554"/>
    <n v="634.20769230769224"/>
    <n v="5334.8058823529409"/>
    <n v="-6.6320291713574647E-2"/>
    <n v="-6014.6999999999971"/>
  </r>
  <r>
    <n v="348934"/>
    <x v="4"/>
    <x v="4"/>
    <x v="0"/>
    <x v="1"/>
    <x v="1"/>
    <x v="1"/>
    <x v="0"/>
    <n v="261047"/>
    <n v="3299600"/>
    <n v="16498"/>
    <n v="330"/>
    <n v="42"/>
    <n v="209202"/>
    <n v="5.0000000000000001E-3"/>
    <n v="2.000242453630743E-2"/>
    <s v="High"/>
    <n v="0.12727272727272726"/>
    <x v="0"/>
    <n v="4981"/>
    <n v="15.822948236149836"/>
    <n v="791.0515151515151"/>
    <n v="6215.4047619047615"/>
    <n v="-0.19860408278968922"/>
    <n v="-51845"/>
  </r>
  <r>
    <n v="89459845"/>
    <x v="4"/>
    <x v="4"/>
    <x v="0"/>
    <x v="2"/>
    <x v="2"/>
    <x v="2"/>
    <x v="1"/>
    <n v="96930.6"/>
    <n v="236719"/>
    <n v="4504"/>
    <n v="151"/>
    <n v="23"/>
    <n v="177882"/>
    <n v="1.902677858558037E-2"/>
    <n v="3.3525754884547072E-2"/>
    <s v="High"/>
    <n v="0.15231788079470199"/>
    <x v="1"/>
    <n v="7734"/>
    <n v="21.521003552397868"/>
    <n v="641.92450331125826"/>
    <n v="4214.3739130434788"/>
    <n v="0.83514803374785662"/>
    <n v="80951.399999999994"/>
  </r>
  <r>
    <n v="127823"/>
    <x v="4"/>
    <x v="4"/>
    <x v="0"/>
    <x v="3"/>
    <x v="3"/>
    <x v="2"/>
    <x v="1"/>
    <n v="56875.199999999997"/>
    <n v="9914040"/>
    <n v="11993"/>
    <n v="139"/>
    <n v="14"/>
    <n v="49644"/>
    <n v="1.2096985688982494E-3"/>
    <n v="1.1590094221629283E-2"/>
    <s v="Low"/>
    <n v="0.10071942446043165"/>
    <x v="0"/>
    <n v="3546"/>
    <n v="4.7423663803885594"/>
    <n v="409.17410071942442"/>
    <n v="4062.5142857142855"/>
    <n v="-0.12714153093088021"/>
    <n v="-7231.1999999999971"/>
  </r>
  <r>
    <n v="10934"/>
    <x v="4"/>
    <x v="4"/>
    <x v="0"/>
    <x v="4"/>
    <x v="4"/>
    <x v="2"/>
    <x v="2"/>
    <n v="442617"/>
    <n v="1965108"/>
    <n v="22507"/>
    <n v="731"/>
    <n v="146"/>
    <n v="1165230"/>
    <n v="1.1453314525206757E-2"/>
    <n v="3.2478784378193452E-2"/>
    <s v="High"/>
    <n v="0.19972640218878249"/>
    <x v="1"/>
    <n v="7981.0273972602736"/>
    <n v="19.665748433820589"/>
    <n v="605.49521203830375"/>
    <n v="3031.6232876712329"/>
    <n v="1.6325920604043676"/>
    <n v="722613"/>
  </r>
  <r>
    <n v="9034945"/>
    <x v="4"/>
    <x v="4"/>
    <x v="0"/>
    <x v="5"/>
    <x v="0"/>
    <x v="0"/>
    <x v="0"/>
    <n v="258306"/>
    <n v="7485780"/>
    <n v="13498"/>
    <n v="526"/>
    <n v="76"/>
    <n v="454556"/>
    <n v="1.8031521097333879E-3"/>
    <n v="3.8968736109053194E-2"/>
    <s v="High"/>
    <n v="0.14448669201520911"/>
    <x v="0"/>
    <n v="5981"/>
    <n v="19.136612831530599"/>
    <n v="491.0760456273764"/>
    <n v="3398.7631578947367"/>
    <n v="0.75975780663244374"/>
    <n v="196250"/>
  </r>
  <r>
    <n v="983498"/>
    <x v="4"/>
    <x v="4"/>
    <x v="0"/>
    <x v="6"/>
    <x v="1"/>
    <x v="1"/>
    <x v="0"/>
    <n v="13588.8"/>
    <n v="5100600"/>
    <n v="25503"/>
    <n v="765"/>
    <n v="4"/>
    <n v="7924"/>
    <n v="5.0000000000000001E-3"/>
    <n v="2.9996471003411362E-2"/>
    <s v="High"/>
    <n v="5.2287581699346402E-3"/>
    <x v="0"/>
    <n v="1981"/>
    <n v="0.53283143159628277"/>
    <n v="17.763137254901959"/>
    <n v="3397.2"/>
    <n v="-0.41687271870952547"/>
    <n v="-5664.7999999999993"/>
  </r>
  <r>
    <n v="4387490"/>
    <x v="4"/>
    <x v="4"/>
    <x v="0"/>
    <x v="7"/>
    <x v="5"/>
    <x v="2"/>
    <x v="0"/>
    <n v="6790.74"/>
    <n v="48954"/>
    <n v="1505"/>
    <n v="30"/>
    <n v="5"/>
    <n v="27060"/>
    <n v="3.0743146627446174E-2"/>
    <n v="1.9933554817275746E-2"/>
    <s v="Low"/>
    <n v="0.16666666666666666"/>
    <x v="1"/>
    <n v="5412"/>
    <n v="4.5121196013289033"/>
    <n v="226.358"/>
    <n v="1358.1479999999999"/>
    <n v="2.9848381766935566"/>
    <n v="20269.260000000002"/>
  </r>
  <r>
    <n v="544756"/>
    <x v="4"/>
    <x v="4"/>
    <x v="0"/>
    <x v="8"/>
    <x v="6"/>
    <x v="2"/>
    <x v="0"/>
    <n v="192789"/>
    <n v="600400"/>
    <n v="6004"/>
    <n v="120"/>
    <n v="21"/>
    <n v="9492"/>
    <n v="0.01"/>
    <n v="1.9986675549633577E-2"/>
    <s v="Low"/>
    <n v="0.17499999999999999"/>
    <x v="1"/>
    <n v="452"/>
    <n v="32.110093271152564"/>
    <n v="1606.575"/>
    <n v="9180.4285714285706"/>
    <n v="-0.95076482579400279"/>
    <n v="-183297"/>
  </r>
  <r>
    <n v="374754"/>
    <x v="4"/>
    <x v="4"/>
    <x v="0"/>
    <x v="9"/>
    <x v="4"/>
    <x v="2"/>
    <x v="2"/>
    <n v="36431.699999999997"/>
    <n v="2153303"/>
    <n v="15003"/>
    <n v="51"/>
    <n v="8"/>
    <n v="47816"/>
    <n v="6.967435609387067E-3"/>
    <n v="3.3993201359728054E-3"/>
    <s v="Low"/>
    <n v="0.15686274509803921"/>
    <x v="1"/>
    <n v="5977"/>
    <n v="2.4282943411317737"/>
    <n v="714.34705882352932"/>
    <n v="4553.9624999999996"/>
    <n v="0.31248335927228221"/>
    <n v="11384.300000000003"/>
  </r>
  <r>
    <n v="39889"/>
    <x v="4"/>
    <x v="4"/>
    <x v="0"/>
    <x v="10"/>
    <x v="7"/>
    <x v="2"/>
    <x v="3"/>
    <n v="427922"/>
    <n v="8238872"/>
    <n v="20997"/>
    <n v="796"/>
    <n v="119"/>
    <n v="471240"/>
    <n v="2.5485284878803798E-3"/>
    <n v="3.7910177644425391E-2"/>
    <s v="High"/>
    <n v="0.14949748743718594"/>
    <x v="0"/>
    <n v="3960"/>
    <n v="20.380149545173118"/>
    <n v="537.5904522613065"/>
    <n v="3595.9831932773109"/>
    <n v="0.10122872860007198"/>
    <n v="43318"/>
  </r>
  <r>
    <n v="349043"/>
    <x v="5"/>
    <x v="5"/>
    <x v="1"/>
    <x v="0"/>
    <x v="0"/>
    <x v="0"/>
    <x v="0"/>
    <n v="40407.9"/>
    <n v="310024"/>
    <n v="2391"/>
    <n v="76"/>
    <n v="9"/>
    <n v="46152"/>
    <n v="7.7123061440404614E-3"/>
    <n v="3.1785863655374322E-2"/>
    <s v="High"/>
    <n v="0.11842105263157894"/>
    <x v="0"/>
    <n v="5128"/>
    <n v="16.900000000000002"/>
    <n v="531.68289473684217"/>
    <n v="4489.7666666666664"/>
    <n v="0.1421528958446244"/>
    <n v="5744.0999999999985"/>
  </r>
  <r>
    <n v="348934"/>
    <x v="5"/>
    <x v="5"/>
    <x v="1"/>
    <x v="1"/>
    <x v="1"/>
    <x v="1"/>
    <x v="0"/>
    <n v="62272.6"/>
    <n v="448321"/>
    <n v="3302"/>
    <n v="108"/>
    <n v="9"/>
    <n v="44829"/>
    <n v="7.3652583751374571E-3"/>
    <n v="3.2707450030284677E-2"/>
    <s v="High"/>
    <n v="8.3333333333333329E-2"/>
    <x v="0"/>
    <n v="4981"/>
    <n v="18.859055118110234"/>
    <n v="576.59814814814808"/>
    <n v="6919.1777777777779"/>
    <n v="-0.28011677688100384"/>
    <n v="-17443.599999999999"/>
  </r>
  <r>
    <n v="89459845"/>
    <x v="5"/>
    <x v="5"/>
    <x v="1"/>
    <x v="2"/>
    <x v="2"/>
    <x v="2"/>
    <x v="1"/>
    <n v="6768.87"/>
    <n v="44950"/>
    <n v="899"/>
    <n v="13"/>
    <n v="1"/>
    <n v="8136"/>
    <n v="0.02"/>
    <n v="1.4460511679644048E-2"/>
    <s v="Low"/>
    <n v="7.6923076923076927E-2"/>
    <x v="0"/>
    <n v="8136"/>
    <n v="7.5293325917686316"/>
    <n v="520.68230769230763"/>
    <n v="6768.87"/>
    <n v="0.20197315061450435"/>
    <n v="1367.13"/>
  </r>
  <r>
    <n v="127823"/>
    <x v="5"/>
    <x v="5"/>
    <x v="1"/>
    <x v="3"/>
    <x v="3"/>
    <x v="2"/>
    <x v="1"/>
    <n v="22542"/>
    <n v="478400"/>
    <n v="2392"/>
    <n v="48"/>
    <n v="6"/>
    <n v="13152"/>
    <n v="5.0000000000000001E-3"/>
    <n v="2.0066889632107024E-2"/>
    <s v="High"/>
    <n v="0.125"/>
    <x v="0"/>
    <n v="2192"/>
    <n v="9.4239130434782616"/>
    <n v="469.625"/>
    <n v="3757"/>
    <n v="-0.41655576257652382"/>
    <n v="-9390"/>
  </r>
  <r>
    <n v="10934"/>
    <x v="5"/>
    <x v="5"/>
    <x v="1"/>
    <x v="4"/>
    <x v="4"/>
    <x v="2"/>
    <x v="2"/>
    <n v="80971.399999999994"/>
    <n v="472252"/>
    <n v="4508"/>
    <n v="133"/>
    <n v="27"/>
    <n v="215487"/>
    <n v="9.5457509973488723E-3"/>
    <n v="2.9503105590062112E-2"/>
    <s v="High"/>
    <n v="0.20300751879699247"/>
    <x v="1"/>
    <n v="7981"/>
    <n v="17.961712511091392"/>
    <n v="608.80751879699244"/>
    <n v="2998.9407407407407"/>
    <n v="1.6612729926863068"/>
    <n v="134515.6"/>
  </r>
  <r>
    <n v="9034945"/>
    <x v="5"/>
    <x v="5"/>
    <x v="1"/>
    <x v="5"/>
    <x v="0"/>
    <x v="0"/>
    <x v="0"/>
    <n v="3661.53"/>
    <n v="425467"/>
    <n v="2695"/>
    <n v="14"/>
    <n v="1"/>
    <n v="5958"/>
    <n v="6.3342162846942301E-3"/>
    <n v="5.1948051948051948E-3"/>
    <s v="Low"/>
    <n v="7.1428571428571425E-2"/>
    <x v="0"/>
    <n v="5958"/>
    <n v="1.3586382189239332"/>
    <n v="261.53785714285715"/>
    <n v="3661.53"/>
    <n v="0.62718863425944882"/>
    <n v="2296.4699999999998"/>
  </r>
  <r>
    <n v="983498"/>
    <x v="5"/>
    <x v="5"/>
    <x v="1"/>
    <x v="6"/>
    <x v="1"/>
    <x v="1"/>
    <x v="0"/>
    <n v="12183.4"/>
    <n v="1589341"/>
    <n v="5092"/>
    <n v="102"/>
    <n v="5"/>
    <n v="12295"/>
    <n v="3.2038436056201912E-3"/>
    <n v="2.0031421838177535E-2"/>
    <s v="High"/>
    <n v="4.9019607843137254E-2"/>
    <x v="0"/>
    <n v="2459"/>
    <n v="2.3926551453260014"/>
    <n v="119.44509803921568"/>
    <n v="2436.6799999999998"/>
    <n v="9.160004596418107E-3"/>
    <n v="111.60000000000036"/>
  </r>
  <r>
    <n v="4387490"/>
    <x v="5"/>
    <x v="5"/>
    <x v="1"/>
    <x v="7"/>
    <x v="5"/>
    <x v="2"/>
    <x v="0"/>
    <n v="1420.15"/>
    <n v="10200"/>
    <n v="306"/>
    <n v="6"/>
    <n v="1"/>
    <n v="5492"/>
    <n v="0.03"/>
    <n v="1.9607843137254902E-2"/>
    <s v="Low"/>
    <n v="0.16666666666666666"/>
    <x v="1"/>
    <n v="5492"/>
    <n v="4.6410130718954248"/>
    <n v="236.69166666666669"/>
    <n v="1420.15"/>
    <n v="2.8671971270640424"/>
    <n v="4071.85"/>
  </r>
  <r>
    <n v="544756"/>
    <x v="5"/>
    <x v="5"/>
    <x v="1"/>
    <x v="8"/>
    <x v="6"/>
    <x v="2"/>
    <x v="0"/>
    <n v="29281"/>
    <n v="119700"/>
    <n v="1197"/>
    <n v="24"/>
    <n v="4"/>
    <n v="6428"/>
    <n v="0.01"/>
    <n v="2.0050125313283207E-2"/>
    <s v="High"/>
    <n v="0.16666666666666666"/>
    <x v="1"/>
    <n v="1607"/>
    <n v="24.461988304093566"/>
    <n v="1220.0416666666667"/>
    <n v="7320.25"/>
    <n v="-0.78047197841603766"/>
    <n v="-22853"/>
  </r>
  <r>
    <n v="374754"/>
    <x v="5"/>
    <x v="5"/>
    <x v="1"/>
    <x v="9"/>
    <x v="4"/>
    <x v="2"/>
    <x v="2"/>
    <n v="8289.2099999999991"/>
    <n v="300700"/>
    <n v="3007"/>
    <n v="20"/>
    <n v="2"/>
    <n v="9450"/>
    <n v="0.01"/>
    <n v="6.6511473229132027E-3"/>
    <s v="Low"/>
    <n v="0.1"/>
    <x v="0"/>
    <n v="4725"/>
    <n v="2.7566378450282669"/>
    <n v="414.46049999999997"/>
    <n v="4144.6049999999996"/>
    <n v="0.14003626401068389"/>
    <n v="1160.7900000000009"/>
  </r>
  <r>
    <n v="39889"/>
    <x v="5"/>
    <x v="5"/>
    <x v="1"/>
    <x v="10"/>
    <x v="7"/>
    <x v="2"/>
    <x v="3"/>
    <n v="38185.199999999997"/>
    <n v="42070000"/>
    <n v="4207"/>
    <n v="84"/>
    <n v="10"/>
    <n v="48820"/>
    <n v="1E-4"/>
    <n v="1.9966722129783693E-2"/>
    <s v="Low"/>
    <n v="0.11904761904761904"/>
    <x v="0"/>
    <n v="4882"/>
    <n v="9.0765866413120975"/>
    <n v="454.58571428571423"/>
    <n v="3818.5199999999995"/>
    <n v="0.27850580853314905"/>
    <n v="10634.800000000003"/>
  </r>
  <r>
    <n v="349043"/>
    <x v="6"/>
    <x v="6"/>
    <x v="1"/>
    <x v="0"/>
    <x v="0"/>
    <x v="0"/>
    <x v="0"/>
    <n v="27314.400000000001"/>
    <n v="478000"/>
    <n v="2390"/>
    <n v="45"/>
    <n v="5"/>
    <n v="24905"/>
    <n v="5.0000000000000001E-3"/>
    <n v="1.8828451882845189E-2"/>
    <s v="Low"/>
    <n v="0.1111111111111111"/>
    <x v="0"/>
    <n v="4981"/>
    <n v="11.428619246861926"/>
    <n v="606.98666666666668"/>
    <n v="5462.88"/>
    <n v="-8.8209881967021106E-2"/>
    <n v="-2409.4000000000015"/>
  </r>
  <r>
    <n v="348934"/>
    <x v="6"/>
    <x v="6"/>
    <x v="1"/>
    <x v="1"/>
    <x v="1"/>
    <x v="1"/>
    <x v="0"/>
    <n v="38485.599999999999"/>
    <n v="659000"/>
    <n v="3295"/>
    <n v="66"/>
    <n v="5"/>
    <n v="23735"/>
    <n v="5.0000000000000001E-3"/>
    <n v="2.0030349013657057E-2"/>
    <s v="High"/>
    <n v="7.575757575757576E-2"/>
    <x v="0"/>
    <n v="4747"/>
    <n v="11.68"/>
    <n v="583.11515151515152"/>
    <n v="7697.12"/>
    <n v="-0.38327582264535304"/>
    <n v="-14750.599999999999"/>
  </r>
  <r>
    <n v="89459845"/>
    <x v="6"/>
    <x v="6"/>
    <x v="1"/>
    <x v="2"/>
    <x v="2"/>
    <x v="2"/>
    <x v="1"/>
    <n v="6426"/>
    <n v="44650"/>
    <n v="893"/>
    <n v="18"/>
    <n v="2"/>
    <n v="14152"/>
    <n v="0.02"/>
    <n v="2.0156774916013438E-2"/>
    <s v="High"/>
    <n v="0.1111111111111111"/>
    <x v="0"/>
    <n v="7076"/>
    <n v="7.195968645016797"/>
    <n v="357"/>
    <n v="3213"/>
    <n v="1.2023031434796141"/>
    <n v="7726"/>
  </r>
  <r>
    <n v="127823"/>
    <x v="6"/>
    <x v="6"/>
    <x v="1"/>
    <x v="3"/>
    <x v="3"/>
    <x v="2"/>
    <x v="1"/>
    <n v="18102.099999999999"/>
    <n v="1137473"/>
    <n v="2404"/>
    <n v="48"/>
    <n v="5"/>
    <n v="17845"/>
    <n v="2.1134567589736197E-3"/>
    <n v="1.9966722129783693E-2"/>
    <s v="Low"/>
    <n v="0.10416666666666667"/>
    <x v="0"/>
    <n v="3569"/>
    <n v="7.5299916805324454"/>
    <n v="377.1270833333333"/>
    <n v="3620.4199999999996"/>
    <n v="-1.4202772054070995E-2"/>
    <n v="-257.09999999999854"/>
  </r>
  <r>
    <n v="10934"/>
    <x v="6"/>
    <x v="6"/>
    <x v="1"/>
    <x v="4"/>
    <x v="4"/>
    <x v="2"/>
    <x v="2"/>
    <n v="31680.1"/>
    <n v="694624"/>
    <n v="4505"/>
    <n v="82"/>
    <n v="15"/>
    <n v="119715"/>
    <n v="6.4855231031464506E-3"/>
    <n v="1.8201997780244172E-2"/>
    <s v="Low"/>
    <n v="0.18292682926829268"/>
    <x v="1"/>
    <n v="7981"/>
    <n v="7.0322086570477245"/>
    <n v="386.34268292682924"/>
    <n v="2112.0066666666667"/>
    <n v="2.7788706475042693"/>
    <n v="88034.9"/>
  </r>
  <r>
    <n v="9034945"/>
    <x v="6"/>
    <x v="6"/>
    <x v="1"/>
    <x v="5"/>
    <x v="0"/>
    <x v="0"/>
    <x v="0"/>
    <n v="37965.9"/>
    <n v="1246126"/>
    <n v="2696"/>
    <n v="100"/>
    <n v="11"/>
    <n v="65791"/>
    <n v="2.1635051351147475E-3"/>
    <n v="3.7091988130563795E-2"/>
    <s v="High"/>
    <n v="0.11"/>
    <x v="0"/>
    <n v="5981"/>
    <n v="14.082307121661721"/>
    <n v="379.65899999999999"/>
    <n v="3451.4454545454546"/>
    <n v="0.73289715244469378"/>
    <n v="27825.1"/>
  </r>
  <r>
    <n v="983498"/>
    <x v="6"/>
    <x v="6"/>
    <x v="1"/>
    <x v="6"/>
    <x v="1"/>
    <x v="1"/>
    <x v="0"/>
    <n v="6747.94"/>
    <n v="567096"/>
    <n v="5103"/>
    <n v="199"/>
    <n v="2"/>
    <n v="3962"/>
    <n v="8.9984764484320121E-3"/>
    <n v="3.8996668626298255E-2"/>
    <s v="High"/>
    <n v="1.0050251256281407E-2"/>
    <x v="0"/>
    <n v="1981"/>
    <n v="1.3223476386439348"/>
    <n v="33.909246231155777"/>
    <n v="3373.97"/>
    <n v="-0.41285784995124436"/>
    <n v="-2785.9399999999996"/>
  </r>
  <r>
    <n v="4387490"/>
    <x v="6"/>
    <x v="6"/>
    <x v="1"/>
    <x v="7"/>
    <x v="5"/>
    <x v="2"/>
    <x v="0"/>
    <n v="3435.44"/>
    <n v="9938"/>
    <n v="294"/>
    <n v="6"/>
    <n v="1"/>
    <n v="4981"/>
    <n v="2.9583417186556653E-2"/>
    <n v="2.0408163265306121E-2"/>
    <s v="High"/>
    <n v="0.16666666666666666"/>
    <x v="1"/>
    <n v="4981"/>
    <n v="11.685170068027212"/>
    <n v="572.57333333333338"/>
    <n v="3435.44"/>
    <n v="0.44988705959062009"/>
    <n v="1545.56"/>
  </r>
  <r>
    <n v="544756"/>
    <x v="6"/>
    <x v="6"/>
    <x v="1"/>
    <x v="8"/>
    <x v="6"/>
    <x v="2"/>
    <x v="0"/>
    <n v="10104.9"/>
    <n v="174221"/>
    <n v="1197"/>
    <n v="6"/>
    <n v="1"/>
    <n v="981"/>
    <n v="6.8705839135351074E-3"/>
    <n v="5.0125313283208017E-3"/>
    <s v="Low"/>
    <n v="0.16666666666666666"/>
    <x v="1"/>
    <n v="981"/>
    <n v="8.4418546365914793"/>
    <n v="1684.1499999999999"/>
    <n v="10104.9"/>
    <n v="-0.90291838612950148"/>
    <n v="-9123.9"/>
  </r>
  <r>
    <n v="374754"/>
    <x v="6"/>
    <x v="6"/>
    <x v="1"/>
    <x v="9"/>
    <x v="4"/>
    <x v="2"/>
    <x v="2"/>
    <n v="46167.6"/>
    <n v="300700"/>
    <n v="3007"/>
    <n v="93"/>
    <n v="12"/>
    <n v="68076"/>
    <n v="0.01"/>
    <n v="3.0927835051546393E-2"/>
    <s v="High"/>
    <n v="0.12903225806451613"/>
    <x v="0"/>
    <n v="5673"/>
    <n v="15.353375457266377"/>
    <n v="496.42580645161291"/>
    <n v="3847.2999999999997"/>
    <n v="0.47454058690510231"/>
    <n v="21908.400000000001"/>
  </r>
  <r>
    <n v="39889"/>
    <x v="6"/>
    <x v="6"/>
    <x v="1"/>
    <x v="10"/>
    <x v="7"/>
    <x v="2"/>
    <x v="3"/>
    <n v="79987.7"/>
    <n v="3957603"/>
    <n v="4203"/>
    <n v="142"/>
    <n v="27"/>
    <n v="90504"/>
    <n v="1.0620064720993996E-3"/>
    <n v="3.3785391387104451E-2"/>
    <s v="High"/>
    <n v="0.19014084507042253"/>
    <x v="1"/>
    <n v="3352"/>
    <n v="19.031096835593623"/>
    <n v="563.29366197183094"/>
    <n v="2962.5074074074073"/>
    <n v="0.13147396412198378"/>
    <n v="10516.300000000003"/>
  </r>
  <r>
    <n v="349043"/>
    <x v="7"/>
    <x v="0"/>
    <x v="0"/>
    <x v="0"/>
    <x v="0"/>
    <x v="0"/>
    <x v="0"/>
    <n v="27210.400000000001"/>
    <n v="479000"/>
    <n v="2395"/>
    <n v="36"/>
    <n v="5"/>
    <n v="22345"/>
    <n v="5.0000000000000001E-3"/>
    <n v="1.5031315240083507E-2"/>
    <s v="Low"/>
    <n v="0.1388888888888889"/>
    <x v="0"/>
    <n v="4469"/>
    <n v="11.36133611691023"/>
    <n v="755.84444444444443"/>
    <n v="5442.08"/>
    <n v="-0.17880663275806313"/>
    <n v="-4865.4000000000015"/>
  </r>
  <r>
    <n v="348934"/>
    <x v="7"/>
    <x v="0"/>
    <x v="0"/>
    <x v="1"/>
    <x v="1"/>
    <x v="1"/>
    <x v="0"/>
    <n v="33752.800000000003"/>
    <n v="472656"/>
    <n v="3290"/>
    <n v="66"/>
    <n v="5"/>
    <n v="28670"/>
    <n v="6.9606648386987572E-3"/>
    <n v="2.0060790273556232E-2"/>
    <s v="High"/>
    <n v="7.575757575757576E-2"/>
    <x v="0"/>
    <n v="5734"/>
    <n v="10.259209726443769"/>
    <n v="511.40606060606063"/>
    <n v="6750.56"/>
    <n v="-0.15058898817283314"/>
    <n v="-5082.8000000000029"/>
  </r>
  <r>
    <n v="89459845"/>
    <x v="7"/>
    <x v="0"/>
    <x v="0"/>
    <x v="2"/>
    <x v="2"/>
    <x v="2"/>
    <x v="1"/>
    <n v="6918.85"/>
    <n v="51350"/>
    <n v="904"/>
    <n v="20"/>
    <n v="2"/>
    <n v="16240"/>
    <n v="1.7604673807205453E-2"/>
    <n v="2.2123893805309734E-2"/>
    <s v="High"/>
    <n v="0.1"/>
    <x v="0"/>
    <n v="8120"/>
    <n v="7.6535951327433631"/>
    <n v="345.9425"/>
    <n v="3459.4250000000002"/>
    <n v="1.3472108804208791"/>
    <n v="9321.15"/>
  </r>
  <r>
    <n v="127823"/>
    <x v="7"/>
    <x v="0"/>
    <x v="0"/>
    <x v="3"/>
    <x v="3"/>
    <x v="2"/>
    <x v="1"/>
    <n v="16567.5"/>
    <n v="478000"/>
    <n v="2390"/>
    <n v="48"/>
    <n v="5"/>
    <n v="16995"/>
    <n v="5.0000000000000001E-3"/>
    <n v="2.0083682008368201E-2"/>
    <s v="High"/>
    <n v="0.10416666666666667"/>
    <x v="0"/>
    <n v="3399"/>
    <n v="6.9320083682008367"/>
    <n v="345.15625"/>
    <n v="3313.5"/>
    <n v="2.5803531009506563E-2"/>
    <n v="427.5"/>
  </r>
  <r>
    <n v="10934"/>
    <x v="7"/>
    <x v="0"/>
    <x v="0"/>
    <x v="4"/>
    <x v="4"/>
    <x v="2"/>
    <x v="2"/>
    <n v="33892.6"/>
    <n v="685530"/>
    <n v="4491"/>
    <n v="79"/>
    <n v="16"/>
    <n v="120176"/>
    <n v="6.5511356176972558E-3"/>
    <n v="1.7590737029614785E-2"/>
    <s v="Low"/>
    <n v="0.20253164556962025"/>
    <x v="1"/>
    <n v="7511"/>
    <n v="7.5467824537964816"/>
    <n v="429.02025316455695"/>
    <n v="2118.2874999999999"/>
    <n v="2.5457887562476764"/>
    <n v="86283.4"/>
  </r>
  <r>
    <n v="9034945"/>
    <x v="7"/>
    <x v="0"/>
    <x v="0"/>
    <x v="5"/>
    <x v="0"/>
    <x v="0"/>
    <x v="0"/>
    <n v="330.76"/>
    <n v="472836"/>
    <n v="2690"/>
    <n v="1"/>
    <n v="0"/>
    <n v="0"/>
    <n v="5.6890761278752039E-3"/>
    <n v="3.7174721189591077E-4"/>
    <s v="Low"/>
    <n v="0"/>
    <x v="0"/>
    <n v="0"/>
    <n v="0.12295910780669145"/>
    <n v="330.76"/>
    <n v="0"/>
    <n v="-1"/>
    <n v="-330.76"/>
  </r>
  <r>
    <n v="983498"/>
    <x v="7"/>
    <x v="0"/>
    <x v="0"/>
    <x v="6"/>
    <x v="1"/>
    <x v="1"/>
    <x v="0"/>
    <n v="2057.3000000000002"/>
    <n v="1020000"/>
    <n v="5100"/>
    <n v="102"/>
    <n v="1"/>
    <n v="1981"/>
    <n v="5.0000000000000001E-3"/>
    <n v="0.02"/>
    <s v="High"/>
    <n v="9.8039215686274508E-3"/>
    <x v="0"/>
    <n v="1981"/>
    <n v="0.40339215686274515"/>
    <n v="20.169607843137257"/>
    <n v="2057.3000000000002"/>
    <n v="-3.7087444709084809E-2"/>
    <n v="-76.300000000000182"/>
  </r>
  <r>
    <n v="4387490"/>
    <x v="7"/>
    <x v="0"/>
    <x v="0"/>
    <x v="7"/>
    <x v="5"/>
    <x v="2"/>
    <x v="0"/>
    <n v="4336.04"/>
    <n v="10067"/>
    <n v="302"/>
    <n v="10"/>
    <n v="2"/>
    <n v="10036"/>
    <n v="2.999900665540876E-2"/>
    <n v="3.3112582781456956E-2"/>
    <s v="High"/>
    <n v="0.2"/>
    <x v="1"/>
    <n v="5018"/>
    <n v="14.357748344370862"/>
    <n v="433.60399999999998"/>
    <n v="2168.02"/>
    <n v="1.3145542937795778"/>
    <n v="5699.96"/>
  </r>
  <r>
    <n v="544756"/>
    <x v="7"/>
    <x v="0"/>
    <x v="0"/>
    <x v="8"/>
    <x v="6"/>
    <x v="2"/>
    <x v="0"/>
    <n v="40099"/>
    <n v="120200"/>
    <n v="1202"/>
    <n v="24"/>
    <n v="5"/>
    <n v="4905"/>
    <n v="0.01"/>
    <n v="1.9966722129783693E-2"/>
    <s v="Low"/>
    <n v="0.20833333333333334"/>
    <x v="1"/>
    <n v="981"/>
    <n v="33.360232945091511"/>
    <n v="1670.7916666666667"/>
    <n v="8019.8"/>
    <n v="-0.87767774757475248"/>
    <n v="-35194"/>
  </r>
  <r>
    <n v="374754"/>
    <x v="7"/>
    <x v="0"/>
    <x v="0"/>
    <x v="9"/>
    <x v="4"/>
    <x v="2"/>
    <x v="2"/>
    <n v="31154.3"/>
    <n v="361650"/>
    <n v="2991"/>
    <n v="60"/>
    <n v="9"/>
    <n v="45027"/>
    <n v="8.2704272086271263E-3"/>
    <n v="2.0060180541624874E-2"/>
    <s v="High"/>
    <n v="0.15"/>
    <x v="1"/>
    <n v="5003"/>
    <n v="10.416014710799063"/>
    <n v="519.23833333333334"/>
    <n v="3461.588888888889"/>
    <n v="0.44529005626831614"/>
    <n v="13872.7"/>
  </r>
  <r>
    <n v="39889"/>
    <x v="7"/>
    <x v="0"/>
    <x v="0"/>
    <x v="10"/>
    <x v="7"/>
    <x v="2"/>
    <x v="3"/>
    <n v="31883.9"/>
    <n v="2233790"/>
    <n v="4197"/>
    <n v="84"/>
    <n v="10"/>
    <n v="42280"/>
    <n v="1.8788695445856594E-3"/>
    <n v="2.0014295925661188E-2"/>
    <s v="High"/>
    <n v="0.11904761904761904"/>
    <x v="0"/>
    <n v="4228"/>
    <n v="7.5968310698117705"/>
    <n v="379.5702380952381"/>
    <n v="3188.3900000000003"/>
    <n v="0.32606111548461758"/>
    <n v="10396.099999999999"/>
  </r>
  <r>
    <n v="349043"/>
    <x v="8"/>
    <x v="1"/>
    <x v="0"/>
    <x v="0"/>
    <x v="0"/>
    <x v="0"/>
    <x v="0"/>
    <n v="49036.5"/>
    <n v="478600"/>
    <n v="2393"/>
    <n v="68"/>
    <n v="9"/>
    <n v="42813"/>
    <n v="5.0000000000000001E-3"/>
    <n v="2.8416213957375678E-2"/>
    <s v="High"/>
    <n v="0.13235294117647059"/>
    <x v="0"/>
    <n v="4757"/>
    <n v="20.491642290012535"/>
    <n v="721.125"/>
    <n v="5448.5"/>
    <n v="-0.1269156648618886"/>
    <n v="-6223.5"/>
  </r>
  <r>
    <n v="348934"/>
    <x v="8"/>
    <x v="1"/>
    <x v="0"/>
    <x v="1"/>
    <x v="1"/>
    <x v="1"/>
    <x v="0"/>
    <n v="62119.4"/>
    <n v="555116"/>
    <n v="3303"/>
    <n v="96"/>
    <n v="11"/>
    <n v="54791"/>
    <n v="5.9501077252322038E-3"/>
    <n v="2.9064486830154404E-2"/>
    <s v="High"/>
    <n v="0.11458333333333333"/>
    <x v="0"/>
    <n v="4981"/>
    <n v="18.806963366636392"/>
    <n v="647.07708333333335"/>
    <n v="5647.2181818181816"/>
    <n v="-0.11797280720676634"/>
    <n v="-7328.4000000000015"/>
  </r>
  <r>
    <n v="89459845"/>
    <x v="8"/>
    <x v="1"/>
    <x v="0"/>
    <x v="2"/>
    <x v="2"/>
    <x v="2"/>
    <x v="1"/>
    <n v="3095.21"/>
    <n v="44900"/>
    <n v="898"/>
    <n v="5"/>
    <n v="1"/>
    <n v="7998"/>
    <n v="0.02"/>
    <n v="5.5679287305122494E-3"/>
    <s v="Low"/>
    <n v="0.2"/>
    <x v="1"/>
    <n v="7998"/>
    <n v="3.4467817371937639"/>
    <n v="619.04200000000003"/>
    <n v="3095.21"/>
    <n v="1.5839926854720681"/>
    <n v="4902.79"/>
  </r>
  <r>
    <n v="127823"/>
    <x v="8"/>
    <x v="1"/>
    <x v="0"/>
    <x v="3"/>
    <x v="3"/>
    <x v="2"/>
    <x v="1"/>
    <n v="20299.3"/>
    <n v="478600"/>
    <n v="2393"/>
    <n v="48"/>
    <n v="5"/>
    <n v="14905"/>
    <n v="5.0000000000000001E-3"/>
    <n v="2.0058503969912243E-2"/>
    <s v="High"/>
    <n v="0.10416666666666667"/>
    <x v="0"/>
    <n v="2981"/>
    <n v="8.482783117425825"/>
    <n v="422.90208333333334"/>
    <n v="4059.8599999999997"/>
    <n v="-0.2657382274265615"/>
    <n v="-5394.2999999999993"/>
  </r>
  <r>
    <n v="10934"/>
    <x v="8"/>
    <x v="1"/>
    <x v="0"/>
    <x v="4"/>
    <x v="4"/>
    <x v="2"/>
    <x v="2"/>
    <n v="27833"/>
    <n v="491821"/>
    <n v="4495"/>
    <n v="90"/>
    <n v="18"/>
    <n v="143658"/>
    <n v="9.1395040065389652E-3"/>
    <n v="2.0022246941045607E-2"/>
    <s v="High"/>
    <n v="0.2"/>
    <x v="1"/>
    <n v="7981"/>
    <n v="6.1919911012235813"/>
    <n v="309.25555555555553"/>
    <n v="1546.2777777777778"/>
    <n v="4.1614270829590776"/>
    <n v="115825"/>
  </r>
  <r>
    <n v="9034945"/>
    <x v="8"/>
    <x v="1"/>
    <x v="0"/>
    <x v="5"/>
    <x v="0"/>
    <x v="0"/>
    <x v="0"/>
    <n v="10317"/>
    <n v="759532"/>
    <n v="2701"/>
    <n v="19"/>
    <n v="3"/>
    <n v="19800"/>
    <n v="3.5561372002759595E-3"/>
    <n v="7.0344316919659384E-3"/>
    <s v="Low"/>
    <n v="0.15789473684210525"/>
    <x v="1"/>
    <n v="6600"/>
    <n v="3.8196964087375047"/>
    <n v="543"/>
    <n v="3439"/>
    <n v="0.91916254725210822"/>
    <n v="9483"/>
  </r>
  <r>
    <n v="983498"/>
    <x v="8"/>
    <x v="1"/>
    <x v="0"/>
    <x v="6"/>
    <x v="1"/>
    <x v="1"/>
    <x v="0"/>
    <n v="7398.26"/>
    <n v="1022000"/>
    <n v="5110"/>
    <n v="102"/>
    <n v="3"/>
    <n v="5943"/>
    <n v="5.0000000000000001E-3"/>
    <n v="1.9960861056751468E-2"/>
    <s v="Low"/>
    <n v="2.9411764705882353E-2"/>
    <x v="0"/>
    <n v="1981"/>
    <n v="1.4478003913894326"/>
    <n v="72.531960784313725"/>
    <n v="2466.0866666666666"/>
    <n v="-0.19670300854525255"/>
    <n v="-1455.2600000000002"/>
  </r>
  <r>
    <n v="4387490"/>
    <x v="8"/>
    <x v="1"/>
    <x v="0"/>
    <x v="7"/>
    <x v="5"/>
    <x v="2"/>
    <x v="0"/>
    <n v="2152.37"/>
    <n v="9721"/>
    <n v="290"/>
    <n v="6"/>
    <n v="1"/>
    <n v="4353"/>
    <n v="2.9832321777594897E-2"/>
    <n v="2.0689655172413793E-2"/>
    <s v="High"/>
    <n v="0.16666666666666666"/>
    <x v="1"/>
    <n v="4353"/>
    <n v="7.4219655172413788"/>
    <n v="358.7283333333333"/>
    <n v="2152.37"/>
    <n v="1.0224217955091366"/>
    <n v="2200.63"/>
  </r>
  <r>
    <n v="544756"/>
    <x v="8"/>
    <x v="1"/>
    <x v="0"/>
    <x v="8"/>
    <x v="6"/>
    <x v="2"/>
    <x v="0"/>
    <n v="29091.4"/>
    <n v="189854"/>
    <n v="1198"/>
    <n v="24"/>
    <n v="3"/>
    <n v="2943"/>
    <n v="6.3101119807852353E-3"/>
    <n v="2.003338898163606E-2"/>
    <s v="High"/>
    <n v="0.125"/>
    <x v="0"/>
    <n v="981"/>
    <n v="24.283305509181972"/>
    <n v="1212.1416666666667"/>
    <n v="9697.1333333333332"/>
    <n v="-0.89883608214111388"/>
    <n v="-26148.400000000001"/>
  </r>
  <r>
    <n v="374754"/>
    <x v="8"/>
    <x v="1"/>
    <x v="0"/>
    <x v="9"/>
    <x v="4"/>
    <x v="2"/>
    <x v="2"/>
    <n v="57642.400000000001"/>
    <n v="346068"/>
    <n v="3006"/>
    <n v="99"/>
    <n v="15"/>
    <n v="89460"/>
    <n v="8.6861541662332266E-3"/>
    <n v="3.2934131736526949E-2"/>
    <s v="High"/>
    <n v="0.15151515151515152"/>
    <x v="1"/>
    <n v="5964"/>
    <n v="19.175781769793748"/>
    <n v="582.24646464646469"/>
    <n v="3842.8266666666668"/>
    <n v="0.55198256838715942"/>
    <n v="31817.599999999999"/>
  </r>
  <r>
    <n v="39889"/>
    <x v="8"/>
    <x v="1"/>
    <x v="0"/>
    <x v="10"/>
    <x v="7"/>
    <x v="2"/>
    <x v="3"/>
    <n v="44731.7"/>
    <n v="3736884"/>
    <n v="4190"/>
    <n v="84"/>
    <n v="13"/>
    <n v="51259"/>
    <n v="1.121255034943552E-3"/>
    <n v="2.0047732696897375E-2"/>
    <s v="High"/>
    <n v="0.15476190476190477"/>
    <x v="1"/>
    <n v="3943"/>
    <n v="10.675823389021479"/>
    <n v="532.52023809523803"/>
    <n v="3440.8999999999996"/>
    <n v="0.14592112528698895"/>
    <n v="6527.3000000000029"/>
  </r>
  <r>
    <n v="349043"/>
    <x v="9"/>
    <x v="2"/>
    <x v="0"/>
    <x v="0"/>
    <x v="0"/>
    <x v="0"/>
    <x v="0"/>
    <n v="43386.400000000001"/>
    <n v="961800"/>
    <n v="4809"/>
    <n v="96"/>
    <n v="8"/>
    <n v="42400"/>
    <n v="5.0000000000000001E-3"/>
    <n v="1.9962570180910792E-2"/>
    <s v="Low"/>
    <n v="8.3333333333333329E-2"/>
    <x v="0"/>
    <n v="5300"/>
    <n v="9.0219172385111257"/>
    <n v="451.94166666666666"/>
    <n v="5423.3"/>
    <n v="-2.2735235004517577E-2"/>
    <n v="-986.40000000000146"/>
  </r>
  <r>
    <n v="348934"/>
    <x v="9"/>
    <x v="2"/>
    <x v="0"/>
    <x v="1"/>
    <x v="1"/>
    <x v="1"/>
    <x v="0"/>
    <n v="43865.9"/>
    <n v="852250"/>
    <n v="6596"/>
    <n v="132"/>
    <n v="7"/>
    <n v="34867"/>
    <n v="7.7395130536814316E-3"/>
    <n v="2.0012128562765311E-2"/>
    <s v="High"/>
    <n v="5.3030303030303032E-2"/>
    <x v="0"/>
    <n v="4981"/>
    <n v="6.6503790175864159"/>
    <n v="332.31742424242424"/>
    <n v="6266.5571428571429"/>
    <n v="-0.20514568263731056"/>
    <n v="-8998.9000000000015"/>
  </r>
  <r>
    <n v="89459845"/>
    <x v="9"/>
    <x v="2"/>
    <x v="0"/>
    <x v="2"/>
    <x v="2"/>
    <x v="2"/>
    <x v="1"/>
    <n v="51883.1"/>
    <n v="108748"/>
    <n v="1797"/>
    <n v="57"/>
    <n v="11"/>
    <n v="86724"/>
    <n v="1.6524441828815243E-2"/>
    <n v="3.1719532554257093E-2"/>
    <s v="High"/>
    <n v="0.19298245614035087"/>
    <x v="1"/>
    <n v="7884"/>
    <n v="28.872064552031162"/>
    <n v="910.22982456140346"/>
    <n v="4716.6454545454544"/>
    <n v="0.67152695193617962"/>
    <n v="34840.9"/>
  </r>
  <r>
    <n v="127823"/>
    <x v="9"/>
    <x v="2"/>
    <x v="0"/>
    <x v="3"/>
    <x v="3"/>
    <x v="2"/>
    <x v="1"/>
    <n v="67577.8"/>
    <n v="797238"/>
    <n v="4797"/>
    <n v="154"/>
    <n v="19"/>
    <n v="42598"/>
    <n v="6.0170237745817432E-3"/>
    <n v="3.2103397957056495E-2"/>
    <s v="High"/>
    <n v="0.12337662337662338"/>
    <x v="0"/>
    <n v="2242"/>
    <n v="14.087513028976444"/>
    <n v="438.81688311688316"/>
    <n v="3556.726315789474"/>
    <n v="-0.36964506095196947"/>
    <n v="-24979.800000000003"/>
  </r>
  <r>
    <n v="10934"/>
    <x v="9"/>
    <x v="2"/>
    <x v="0"/>
    <x v="4"/>
    <x v="4"/>
    <x v="2"/>
    <x v="2"/>
    <n v="19831.400000000001"/>
    <n v="1469962"/>
    <n v="8998"/>
    <n v="80"/>
    <n v="16"/>
    <n v="130768"/>
    <n v="6.121246671682669E-3"/>
    <n v="8.8908646365859073E-3"/>
    <s v="Low"/>
    <n v="0.2"/>
    <x v="1"/>
    <n v="8173"/>
    <n v="2.2039786619248725"/>
    <n v="247.89250000000001"/>
    <n v="1239.4625000000001"/>
    <n v="5.593987313049003"/>
    <n v="110936.6"/>
  </r>
  <r>
    <n v="9034945"/>
    <x v="9"/>
    <x v="2"/>
    <x v="0"/>
    <x v="5"/>
    <x v="0"/>
    <x v="0"/>
    <x v="0"/>
    <n v="38890.300000000003"/>
    <n v="3858193"/>
    <n v="5406"/>
    <n v="186"/>
    <n v="14"/>
    <n v="83734"/>
    <n v="1.4011740729403636E-3"/>
    <n v="3.4406215316315207E-2"/>
    <s v="High"/>
    <n v="7.5268817204301078E-2"/>
    <x v="0"/>
    <n v="5981"/>
    <n v="7.1939141694413618"/>
    <n v="209.08763440860216"/>
    <n v="2777.8785714285718"/>
    <n v="1.1530818738862902"/>
    <n v="44843.7"/>
  </r>
  <r>
    <n v="983498"/>
    <x v="9"/>
    <x v="2"/>
    <x v="0"/>
    <x v="6"/>
    <x v="1"/>
    <x v="1"/>
    <x v="0"/>
    <n v="14147.9"/>
    <n v="2040000"/>
    <n v="10200"/>
    <n v="395"/>
    <n v="4"/>
    <n v="7924"/>
    <n v="5.0000000000000001E-3"/>
    <n v="3.8725490196078433E-2"/>
    <s v="High"/>
    <n v="1.0126582278481013E-2"/>
    <x v="0"/>
    <n v="1981"/>
    <n v="1.3870490196078431"/>
    <n v="35.817468354430382"/>
    <n v="3536.9749999999999"/>
    <n v="-0.43991687812325503"/>
    <n v="-6223.9"/>
  </r>
  <r>
    <n v="4387490"/>
    <x v="9"/>
    <x v="2"/>
    <x v="0"/>
    <x v="7"/>
    <x v="5"/>
    <x v="2"/>
    <x v="0"/>
    <n v="12713"/>
    <n v="18399"/>
    <n v="599"/>
    <n v="22"/>
    <n v="5"/>
    <n v="27065"/>
    <n v="3.2556117180281535E-2"/>
    <n v="3.6727879799666109E-2"/>
    <s v="High"/>
    <n v="0.22727272727272727"/>
    <x v="1"/>
    <n v="5413"/>
    <n v="21.223706176961603"/>
    <n v="577.86363636363637"/>
    <n v="2542.6"/>
    <n v="1.1289231495319751"/>
    <n v="14352"/>
  </r>
  <r>
    <n v="544756"/>
    <x v="9"/>
    <x v="2"/>
    <x v="0"/>
    <x v="8"/>
    <x v="6"/>
    <x v="2"/>
    <x v="0"/>
    <n v="131236"/>
    <n v="321713"/>
    <n v="2396"/>
    <n v="88"/>
    <n v="15"/>
    <n v="14715"/>
    <n v="7.4476318955093513E-3"/>
    <n v="3.6727879799666109E-2"/>
    <s v="High"/>
    <n v="0.17045454545454544"/>
    <x v="1"/>
    <n v="981"/>
    <n v="54.772954924874789"/>
    <n v="1491.3181818181818"/>
    <n v="8749.0666666666675"/>
    <n v="-0.88787375415282388"/>
    <n v="-116521"/>
  </r>
  <r>
    <n v="374754"/>
    <x v="9"/>
    <x v="2"/>
    <x v="0"/>
    <x v="9"/>
    <x v="4"/>
    <x v="2"/>
    <x v="2"/>
    <n v="126901"/>
    <n v="489728"/>
    <n v="6005"/>
    <n v="187"/>
    <n v="34"/>
    <n v="143888"/>
    <n v="1.2261908651332984E-2"/>
    <n v="3.1140716069941714E-2"/>
    <s v="High"/>
    <n v="0.18181818181818182"/>
    <x v="1"/>
    <n v="4232"/>
    <n v="21.132556203164029"/>
    <n v="678.61497326203209"/>
    <n v="3732.3823529411766"/>
    <n v="0.13386025326829576"/>
    <n v="16987"/>
  </r>
  <r>
    <n v="39889"/>
    <x v="9"/>
    <x v="2"/>
    <x v="0"/>
    <x v="10"/>
    <x v="7"/>
    <x v="2"/>
    <x v="3"/>
    <n v="179519"/>
    <n v="5219501"/>
    <n v="8391"/>
    <n v="302"/>
    <n v="60"/>
    <n v="196680"/>
    <n v="1.6076249434572385E-3"/>
    <n v="3.5990942676677393E-2"/>
    <s v="High"/>
    <n v="0.19867549668874171"/>
    <x v="1"/>
    <n v="3278"/>
    <n v="21.394231915147181"/>
    <n v="594.43377483443703"/>
    <n v="2991.9833333333331"/>
    <n v="9.5594338203755597E-2"/>
    <n v="17161"/>
  </r>
  <r>
    <n v="349043"/>
    <x v="10"/>
    <x v="3"/>
    <x v="0"/>
    <x v="0"/>
    <x v="0"/>
    <x v="0"/>
    <x v="0"/>
    <n v="105681"/>
    <n v="1061233"/>
    <n v="7206"/>
    <n v="144"/>
    <n v="23"/>
    <n v="105225"/>
    <n v="6.7902147784699492E-3"/>
    <n v="1.9983347210657785E-2"/>
    <s v="Low"/>
    <n v="0.15972222222222221"/>
    <x v="1"/>
    <n v="4575"/>
    <n v="14.665695253955038"/>
    <n v="733.89583333333337"/>
    <n v="4594.826086956522"/>
    <n v="-4.3148721151389556E-3"/>
    <n v="-456"/>
  </r>
  <r>
    <n v="348934"/>
    <x v="10"/>
    <x v="3"/>
    <x v="0"/>
    <x v="1"/>
    <x v="1"/>
    <x v="1"/>
    <x v="0"/>
    <n v="188516"/>
    <n v="4564542"/>
    <n v="9895"/>
    <n v="304"/>
    <n v="28"/>
    <n v="131068"/>
    <n v="2.1677969005433621E-3"/>
    <n v="3.0722587165234967E-2"/>
    <s v="High"/>
    <n v="9.2105263157894732E-2"/>
    <x v="0"/>
    <n v="4681"/>
    <n v="19.051642243557353"/>
    <n v="620.11842105263156"/>
    <n v="6732.7142857142853"/>
    <n v="-0.30473805936896603"/>
    <n v="-57448"/>
  </r>
  <r>
    <n v="89459845"/>
    <x v="10"/>
    <x v="3"/>
    <x v="0"/>
    <x v="2"/>
    <x v="2"/>
    <x v="2"/>
    <x v="1"/>
    <n v="26220.400000000001"/>
    <n v="134600"/>
    <n v="2692"/>
    <n v="54"/>
    <n v="6"/>
    <n v="48990"/>
    <n v="0.02"/>
    <n v="2.0059435364041606E-2"/>
    <s v="High"/>
    <n v="0.1111111111111111"/>
    <x v="0"/>
    <n v="8165"/>
    <n v="9.7401188707280841"/>
    <n v="485.56296296296301"/>
    <n v="4370.0666666666666"/>
    <n v="0.86839254931274878"/>
    <n v="22769.599999999999"/>
  </r>
  <r>
    <n v="127823"/>
    <x v="10"/>
    <x v="3"/>
    <x v="0"/>
    <x v="3"/>
    <x v="3"/>
    <x v="2"/>
    <x v="1"/>
    <n v="51422.5"/>
    <n v="1254537"/>
    <n v="7198"/>
    <n v="144"/>
    <n v="14"/>
    <n v="41986"/>
    <n v="5.7375748981496758E-3"/>
    <n v="2.0005557099194219E-2"/>
    <s v="High"/>
    <n v="9.7222222222222224E-2"/>
    <x v="0"/>
    <n v="2999"/>
    <n v="7.1439983328702414"/>
    <n v="357.10069444444446"/>
    <n v="3673.0357142857142"/>
    <n v="-0.18350916427633818"/>
    <n v="-9436.5"/>
  </r>
  <r>
    <n v="10934"/>
    <x v="10"/>
    <x v="3"/>
    <x v="0"/>
    <x v="4"/>
    <x v="4"/>
    <x v="2"/>
    <x v="2"/>
    <n v="197161"/>
    <n v="1210466"/>
    <n v="13506"/>
    <n v="474"/>
    <n v="95"/>
    <n v="831820"/>
    <n v="1.1157686378634344E-2"/>
    <n v="3.5095513105286538E-2"/>
    <s v="High"/>
    <n v="0.20042194092827004"/>
    <x v="1"/>
    <n v="8756"/>
    <n v="14.598030504960759"/>
    <n v="415.95147679324896"/>
    <n v="2075.378947368421"/>
    <n v="3.2189885423587827"/>
    <n v="634659"/>
  </r>
  <r>
    <n v="9034945"/>
    <x v="10"/>
    <x v="3"/>
    <x v="0"/>
    <x v="5"/>
    <x v="0"/>
    <x v="0"/>
    <x v="0"/>
    <n v="348.99"/>
    <n v="2224531"/>
    <n v="8106"/>
    <n v="1"/>
    <n v="0"/>
    <n v="0"/>
    <n v="3.6439141553882594E-3"/>
    <n v="1.233654083395016E-4"/>
    <s v="Low"/>
    <n v="0"/>
    <x v="0"/>
    <n v="0"/>
    <n v="4.3053293856402663E-2"/>
    <n v="348.99"/>
    <n v="0"/>
    <n v="-1"/>
    <n v="-348.99"/>
  </r>
  <r>
    <n v="983498"/>
    <x v="10"/>
    <x v="3"/>
    <x v="0"/>
    <x v="6"/>
    <x v="1"/>
    <x v="1"/>
    <x v="0"/>
    <n v="4138.7299999999996"/>
    <n v="3058200"/>
    <n v="15291"/>
    <n v="114"/>
    <n v="1"/>
    <n v="2771"/>
    <n v="5.0000000000000001E-3"/>
    <n v="7.4553659015106927E-3"/>
    <s v="Low"/>
    <n v="8.771929824561403E-3"/>
    <x v="0"/>
    <n v="2771"/>
    <n v="0.27066444313648547"/>
    <n v="36.304649122807014"/>
    <n v="4138.7299999999996"/>
    <n v="-0.33047094156903195"/>
    <n v="-1367.7299999999996"/>
  </r>
  <r>
    <n v="4387490"/>
    <x v="10"/>
    <x v="3"/>
    <x v="0"/>
    <x v="7"/>
    <x v="5"/>
    <x v="2"/>
    <x v="0"/>
    <n v="17711.099999999999"/>
    <n v="26774"/>
    <n v="893"/>
    <n v="27"/>
    <n v="6"/>
    <n v="29886"/>
    <n v="3.3353253156046911E-2"/>
    <n v="3.0235162374020158E-2"/>
    <s v="High"/>
    <n v="0.22222222222222221"/>
    <x v="1"/>
    <n v="4981"/>
    <n v="19.833258678611422"/>
    <n v="655.96666666666658"/>
    <n v="2951.85"/>
    <n v="0.68741636600775802"/>
    <n v="12174.900000000001"/>
  </r>
  <r>
    <n v="544756"/>
    <x v="10"/>
    <x v="3"/>
    <x v="0"/>
    <x v="8"/>
    <x v="6"/>
    <x v="2"/>
    <x v="0"/>
    <n v="6171.15"/>
    <n v="359500"/>
    <n v="3595"/>
    <n v="5"/>
    <n v="1"/>
    <n v="677"/>
    <n v="0.01"/>
    <n v="1.3908205841446453E-3"/>
    <s v="Low"/>
    <n v="0.2"/>
    <x v="1"/>
    <n v="677"/>
    <n v="1.7165924895688456"/>
    <n v="1234.23"/>
    <n v="6171.15"/>
    <n v="-0.89029597400808602"/>
    <n v="-5494.15"/>
  </r>
  <r>
    <n v="374754"/>
    <x v="10"/>
    <x v="3"/>
    <x v="0"/>
    <x v="9"/>
    <x v="4"/>
    <x v="2"/>
    <x v="2"/>
    <n v="128751"/>
    <n v="900400"/>
    <n v="9004"/>
    <n v="227"/>
    <n v="29"/>
    <n v="143869"/>
    <n v="0.01"/>
    <n v="2.5211017325633051E-2"/>
    <s v="High"/>
    <n v="0.1277533039647577"/>
    <x v="0"/>
    <n v="4961"/>
    <n v="14.299311417147933"/>
    <n v="567.18502202643174"/>
    <n v="4439.6896551724139"/>
    <n v="0.11742044721982742"/>
    <n v="15118"/>
  </r>
  <r>
    <n v="39889"/>
    <x v="10"/>
    <x v="3"/>
    <x v="0"/>
    <x v="10"/>
    <x v="7"/>
    <x v="2"/>
    <x v="3"/>
    <n v="193124"/>
    <n v="5125187"/>
    <n v="12602"/>
    <n v="482"/>
    <n v="57"/>
    <n v="226917"/>
    <n v="2.4588371116995339E-3"/>
    <n v="3.8247897159181081E-2"/>
    <s v="High"/>
    <n v="0.11825726141078838"/>
    <x v="0"/>
    <n v="3981"/>
    <n v="15.32486906840184"/>
    <n v="400.67219917012449"/>
    <n v="3388.1403508771928"/>
    <n v="0.17498084132474473"/>
    <n v="33793"/>
  </r>
  <r>
    <n v="349043"/>
    <x v="11"/>
    <x v="4"/>
    <x v="0"/>
    <x v="0"/>
    <x v="0"/>
    <x v="0"/>
    <x v="0"/>
    <n v="110004"/>
    <n v="1804868"/>
    <n v="9607"/>
    <n v="192"/>
    <n v="23"/>
    <n v="96163"/>
    <n v="5.3228269324958949E-3"/>
    <n v="1.9985427292599146E-2"/>
    <s v="Low"/>
    <n v="0.11979166666666667"/>
    <x v="0"/>
    <n v="4181"/>
    <n v="11.450400749453523"/>
    <n v="572.9375"/>
    <n v="4782.782608695652"/>
    <n v="-0.12582269735645976"/>
    <n v="-13841"/>
  </r>
  <r>
    <n v="348934"/>
    <x v="11"/>
    <x v="4"/>
    <x v="0"/>
    <x v="1"/>
    <x v="1"/>
    <x v="1"/>
    <x v="0"/>
    <n v="191722"/>
    <n v="2639200"/>
    <n v="13196"/>
    <n v="325"/>
    <n v="32"/>
    <n v="176512"/>
    <n v="5.0000000000000001E-3"/>
    <n v="2.4628675356168535E-2"/>
    <s v="High"/>
    <n v="9.8461538461538461E-2"/>
    <x v="0"/>
    <n v="5516"/>
    <n v="14.528796605031827"/>
    <n v="589.91384615384618"/>
    <n v="5991.3125"/>
    <n v="-7.9333618468407377E-2"/>
    <n v="-15210"/>
  </r>
  <r>
    <n v="89459845"/>
    <x v="11"/>
    <x v="4"/>
    <x v="0"/>
    <x v="2"/>
    <x v="2"/>
    <x v="2"/>
    <x v="1"/>
    <n v="59745.3"/>
    <n v="161493"/>
    <n v="3602"/>
    <n v="72"/>
    <n v="14"/>
    <n v="122710"/>
    <n v="2.230437232573548E-2"/>
    <n v="1.9988895058300944E-2"/>
    <s v="Low"/>
    <n v="0.19444444444444445"/>
    <x v="1"/>
    <n v="8765"/>
    <n v="16.586701832315381"/>
    <n v="829.79583333333335"/>
    <n v="4267.5214285714292"/>
    <n v="1.0538854102331061"/>
    <n v="62964.7"/>
  </r>
  <r>
    <n v="127823"/>
    <x v="11"/>
    <x v="4"/>
    <x v="0"/>
    <x v="3"/>
    <x v="3"/>
    <x v="2"/>
    <x v="1"/>
    <n v="86733.1"/>
    <n v="1502383"/>
    <n v="9605"/>
    <n v="192"/>
    <n v="19"/>
    <n v="56639"/>
    <n v="6.3931767066054395E-3"/>
    <n v="1.9989588755856325E-2"/>
    <s v="Low"/>
    <n v="9.8958333333333329E-2"/>
    <x v="0"/>
    <n v="2981"/>
    <n v="9.0299947943779291"/>
    <n v="451.73489583333338"/>
    <n v="4564.9000000000005"/>
    <n v="-0.34697364673924952"/>
    <n v="-30094.100000000006"/>
  </r>
  <r>
    <n v="10934"/>
    <x v="11"/>
    <x v="4"/>
    <x v="0"/>
    <x v="4"/>
    <x v="4"/>
    <x v="2"/>
    <x v="2"/>
    <n v="121652"/>
    <n v="1299708"/>
    <n v="17994"/>
    <n v="378"/>
    <n v="61"/>
    <n v="486841"/>
    <n v="1.3844648182514841E-2"/>
    <n v="2.1007002334111371E-2"/>
    <s v="High"/>
    <n v="0.16137566137566137"/>
    <x v="1"/>
    <n v="7981"/>
    <n v="6.7606980104479275"/>
    <n v="321.83068783068785"/>
    <n v="1994.295081967213"/>
    <n v="3.0019152993785552"/>
    <n v="365189"/>
  </r>
  <r>
    <n v="9034945"/>
    <x v="11"/>
    <x v="4"/>
    <x v="0"/>
    <x v="5"/>
    <x v="0"/>
    <x v="0"/>
    <x v="0"/>
    <n v="26659.9"/>
    <n v="3735390"/>
    <n v="10806"/>
    <n v="115"/>
    <n v="9"/>
    <n v="53523"/>
    <n v="2.8928706239509127E-3"/>
    <n v="1.0642235794928743E-2"/>
    <s v="Low"/>
    <n v="7.8260869565217397E-2"/>
    <x v="0"/>
    <n v="5947"/>
    <n v="2.4671386266888766"/>
    <n v="231.82521739130436"/>
    <n v="2962.2111111111112"/>
    <n v="1.0076219340657691"/>
    <n v="26863.1"/>
  </r>
  <r>
    <n v="983498"/>
    <x v="11"/>
    <x v="4"/>
    <x v="0"/>
    <x v="6"/>
    <x v="1"/>
    <x v="1"/>
    <x v="0"/>
    <n v="49060.3"/>
    <n v="7156880"/>
    <n v="20391"/>
    <n v="408"/>
    <n v="15"/>
    <n v="29715"/>
    <n v="2.8491465554822772E-3"/>
    <n v="2.0008827423863468E-2"/>
    <s v="High"/>
    <n v="3.6764705882352942E-2"/>
    <x v="0"/>
    <n v="1981"/>
    <n v="2.4059781276053163"/>
    <n v="120.24583333333334"/>
    <n v="3270.686666666667"/>
    <n v="-0.3943167897464957"/>
    <n v="-19345.300000000003"/>
  </r>
  <r>
    <n v="4387490"/>
    <x v="11"/>
    <x v="4"/>
    <x v="0"/>
    <x v="7"/>
    <x v="5"/>
    <x v="2"/>
    <x v="0"/>
    <n v="11278.3"/>
    <n v="42587"/>
    <n v="1207"/>
    <n v="34"/>
    <n v="8"/>
    <n v="39848"/>
    <n v="2.834198229506657E-2"/>
    <n v="2.8169014084507043E-2"/>
    <s v="High"/>
    <n v="0.23529411764705882"/>
    <x v="1"/>
    <n v="4981"/>
    <n v="9.3440762220381099"/>
    <n v="331.71470588235292"/>
    <n v="1409.7874999999999"/>
    <n v="2.5331565927489073"/>
    <n v="28569.7"/>
  </r>
  <r>
    <n v="544756"/>
    <x v="11"/>
    <x v="4"/>
    <x v="0"/>
    <x v="8"/>
    <x v="6"/>
    <x v="2"/>
    <x v="0"/>
    <n v="44580.9"/>
    <n v="480000"/>
    <n v="4800"/>
    <n v="33"/>
    <n v="5"/>
    <n v="6945"/>
    <n v="0.01"/>
    <n v="6.875E-3"/>
    <s v="Low"/>
    <n v="0.15151515151515152"/>
    <x v="1"/>
    <n v="1389"/>
    <n v="9.2876875000000005"/>
    <n v="1350.9363636363637"/>
    <n v="8916.18"/>
    <n v="-0.84421579645094647"/>
    <n v="-37635.9"/>
  </r>
  <r>
    <n v="374754"/>
    <x v="11"/>
    <x v="4"/>
    <x v="0"/>
    <x v="9"/>
    <x v="4"/>
    <x v="2"/>
    <x v="2"/>
    <n v="308572"/>
    <n v="1200300"/>
    <n v="12003"/>
    <n v="412"/>
    <n v="79"/>
    <n v="393499"/>
    <n v="0.01"/>
    <n v="3.4324752145297011E-2"/>
    <s v="High"/>
    <n v="0.19174757281553398"/>
    <x v="1"/>
    <n v="4981"/>
    <n v="25.707906356744147"/>
    <n v="748.96116504854365"/>
    <n v="3905.9746835443038"/>
    <n v="0.27522587921133479"/>
    <n v="84927"/>
  </r>
  <r>
    <n v="39889"/>
    <x v="11"/>
    <x v="4"/>
    <x v="0"/>
    <x v="10"/>
    <x v="7"/>
    <x v="2"/>
    <x v="3"/>
    <n v="145201"/>
    <n v="10819771"/>
    <n v="16808"/>
    <n v="336"/>
    <n v="49"/>
    <n v="195069"/>
    <n v="1.5534524714062802E-3"/>
    <n v="1.9990480723465015E-2"/>
    <s v="Low"/>
    <n v="0.14583333333333334"/>
    <x v="0"/>
    <n v="3981"/>
    <n v="8.6388029509757267"/>
    <n v="432.14583333333331"/>
    <n v="2963.2857142857142"/>
    <n v="0.3434411608735477"/>
    <n v="49868"/>
  </r>
  <r>
    <n v="349043"/>
    <x v="12"/>
    <x v="5"/>
    <x v="1"/>
    <x v="0"/>
    <x v="0"/>
    <x v="0"/>
    <x v="0"/>
    <n v="308692"/>
    <n v="1496322"/>
    <n v="11990"/>
    <n v="397"/>
    <n v="60"/>
    <n v="341880"/>
    <n v="8.0129811631453659E-3"/>
    <n v="3.311092577147623E-2"/>
    <s v="High"/>
    <n v="0.15113350125944586"/>
    <x v="1"/>
    <n v="5698"/>
    <n v="25.745788156797332"/>
    <n v="777.56171284634763"/>
    <n v="5144.8666666666668"/>
    <n v="0.10751169450455471"/>
    <n v="33188"/>
  </r>
  <r>
    <n v="348934"/>
    <x v="12"/>
    <x v="5"/>
    <x v="1"/>
    <x v="1"/>
    <x v="1"/>
    <x v="1"/>
    <x v="0"/>
    <n v="325444"/>
    <n v="2358224"/>
    <n v="16506"/>
    <n v="655"/>
    <n v="52"/>
    <n v="262184"/>
    <n v="6.9993350928495342E-3"/>
    <n v="3.968253968253968E-2"/>
    <s v="High"/>
    <n v="7.9389312977099238E-2"/>
    <x v="0"/>
    <n v="5042"/>
    <n v="19.716709075487703"/>
    <n v="496.86106870229008"/>
    <n v="6258.5384615384619"/>
    <n v="-0.19438060004178906"/>
    <n v="-63260"/>
  </r>
  <r>
    <n v="89459845"/>
    <x v="12"/>
    <x v="5"/>
    <x v="1"/>
    <x v="2"/>
    <x v="2"/>
    <x v="2"/>
    <x v="1"/>
    <n v="61588.1"/>
    <n v="225350"/>
    <n v="4507"/>
    <n v="100"/>
    <n v="17"/>
    <n v="152660"/>
    <n v="0.02"/>
    <n v="2.218770800976259E-2"/>
    <s v="High"/>
    <n v="0.17"/>
    <x v="1"/>
    <n v="8980"/>
    <n v="13.664987796760593"/>
    <n v="615.88099999999997"/>
    <n v="3622.8294117647056"/>
    <n v="1.4787255979645417"/>
    <n v="91071.9"/>
  </r>
  <r>
    <n v="127823"/>
    <x v="12"/>
    <x v="5"/>
    <x v="1"/>
    <x v="3"/>
    <x v="3"/>
    <x v="2"/>
    <x v="1"/>
    <n v="216562"/>
    <n v="3452027"/>
    <n v="12010"/>
    <n v="378"/>
    <n v="56"/>
    <n v="123088"/>
    <n v="3.4791153139879846E-3"/>
    <n v="3.1473771856786015E-2"/>
    <s v="High"/>
    <n v="0.14814814814814814"/>
    <x v="0"/>
    <n v="2198"/>
    <n v="18.031806827643631"/>
    <n v="572.9153439153439"/>
    <n v="3867.1785714285716"/>
    <n v="-0.43162697056732019"/>
    <n v="-93474"/>
  </r>
  <r>
    <n v="10934"/>
    <x v="12"/>
    <x v="5"/>
    <x v="1"/>
    <x v="4"/>
    <x v="4"/>
    <x v="2"/>
    <x v="2"/>
    <n v="205045"/>
    <n v="2250900"/>
    <n v="22509"/>
    <n v="790"/>
    <n v="158"/>
    <n v="1296550"/>
    <n v="0.01"/>
    <n v="3.509707228219823E-2"/>
    <s v="High"/>
    <n v="0.2"/>
    <x v="1"/>
    <n v="8206.0126582278481"/>
    <n v="9.1094673241814377"/>
    <n v="259.55063291139243"/>
    <n v="1297.753164556962"/>
    <n v="5.3232461167060885"/>
    <n v="1091505"/>
  </r>
  <r>
    <n v="9034945"/>
    <x v="12"/>
    <x v="5"/>
    <x v="1"/>
    <x v="5"/>
    <x v="0"/>
    <x v="0"/>
    <x v="0"/>
    <n v="88844.800000000003"/>
    <n v="2698200"/>
    <n v="13491"/>
    <n v="219"/>
    <n v="26"/>
    <n v="176384"/>
    <n v="5.0000000000000001E-3"/>
    <n v="1.623304425172337E-2"/>
    <s v="Low"/>
    <n v="0.11872146118721461"/>
    <x v="0"/>
    <n v="6784"/>
    <n v="6.5854866207101033"/>
    <n v="405.68401826484018"/>
    <n v="3417.1076923076926"/>
    <n v="0.9853047111367238"/>
    <n v="87539.199999999997"/>
  </r>
  <r>
    <n v="983498"/>
    <x v="12"/>
    <x v="5"/>
    <x v="1"/>
    <x v="6"/>
    <x v="1"/>
    <x v="1"/>
    <x v="0"/>
    <n v="16656.8"/>
    <n v="5100600"/>
    <n v="25503"/>
    <n v="510"/>
    <n v="6"/>
    <n v="10134"/>
    <n v="5.0000000000000001E-3"/>
    <n v="1.9997647335607577E-2"/>
    <s v="Low"/>
    <n v="1.1764705882352941E-2"/>
    <x v="0"/>
    <n v="1689"/>
    <n v="0.65313100419558479"/>
    <n v="32.660392156862741"/>
    <n v="2776.1333333333332"/>
    <n v="-0.39159982709764179"/>
    <n v="-6522.7999999999993"/>
  </r>
  <r>
    <n v="4387490"/>
    <x v="12"/>
    <x v="5"/>
    <x v="1"/>
    <x v="7"/>
    <x v="5"/>
    <x v="2"/>
    <x v="0"/>
    <n v="8367.08"/>
    <n v="50333"/>
    <n v="1510"/>
    <n v="19"/>
    <n v="4"/>
    <n v="18828"/>
    <n v="3.0000198676812428E-2"/>
    <n v="1.2582781456953643E-2"/>
    <s v="Low"/>
    <n v="0.21052631578947367"/>
    <x v="1"/>
    <n v="4707"/>
    <n v="5.5411125827814569"/>
    <n v="440.37263157894739"/>
    <n v="2091.77"/>
    <n v="1.2502473981365063"/>
    <n v="10460.92"/>
  </r>
  <r>
    <n v="544756"/>
    <x v="12"/>
    <x v="5"/>
    <x v="1"/>
    <x v="8"/>
    <x v="6"/>
    <x v="2"/>
    <x v="0"/>
    <n v="171332"/>
    <n v="495013"/>
    <n v="6006"/>
    <n v="128"/>
    <n v="19"/>
    <n v="24035"/>
    <n v="1.2133014688503131E-2"/>
    <n v="2.1312021312021312E-2"/>
    <s v="High"/>
    <n v="0.1484375"/>
    <x v="0"/>
    <n v="1265"/>
    <n v="28.526806526806528"/>
    <n v="1338.53125"/>
    <n v="9017.4736842105267"/>
    <n v="-0.8597168071346859"/>
    <n v="-147297"/>
  </r>
  <r>
    <n v="374754"/>
    <x v="12"/>
    <x v="5"/>
    <x v="1"/>
    <x v="9"/>
    <x v="4"/>
    <x v="2"/>
    <x v="2"/>
    <n v="32770.1"/>
    <n v="1499200"/>
    <n v="14992"/>
    <n v="50"/>
    <n v="8"/>
    <n v="43976"/>
    <n v="0.01"/>
    <n v="3.3351120597652083E-3"/>
    <s v="Low"/>
    <n v="0.16"/>
    <x v="1"/>
    <n v="5497"/>
    <n v="2.1858391141942368"/>
    <n v="655.40199999999993"/>
    <n v="4096.2624999999998"/>
    <n v="0.34195501386935045"/>
    <n v="11205.900000000001"/>
  </r>
  <r>
    <n v="39889"/>
    <x v="12"/>
    <x v="5"/>
    <x v="1"/>
    <x v="10"/>
    <x v="7"/>
    <x v="2"/>
    <x v="3"/>
    <n v="390105"/>
    <n v="17890507"/>
    <n v="20993"/>
    <n v="734"/>
    <n v="118"/>
    <n v="353174"/>
    <n v="1.173415599680881E-3"/>
    <n v="3.4964035630924595E-2"/>
    <s v="High"/>
    <n v="0.16076294277929154"/>
    <x v="1"/>
    <n v="2993"/>
    <n v="18.58262277902158"/>
    <n v="531.47820163487734"/>
    <n v="3305.9745762711864"/>
    <n v="-9.4669383883826147E-2"/>
    <n v="-36931"/>
  </r>
  <r>
    <n v="349043"/>
    <x v="13"/>
    <x v="6"/>
    <x v="1"/>
    <x v="0"/>
    <x v="0"/>
    <x v="0"/>
    <x v="0"/>
    <n v="60244.9"/>
    <n v="2452315"/>
    <n v="14406"/>
    <n v="110"/>
    <n v="14"/>
    <n v="63560"/>
    <n v="5.8744492448971689E-3"/>
    <n v="7.6357073441621548E-3"/>
    <s v="Low"/>
    <n v="0.12727272727272726"/>
    <x v="0"/>
    <n v="4540"/>
    <n v="4.1819311398028605"/>
    <n v="547.68090909090915"/>
    <n v="4303.2071428571426"/>
    <n v="5.5027064531603477E-2"/>
    <n v="3315.0999999999985"/>
  </r>
  <r>
    <n v="348934"/>
    <x v="13"/>
    <x v="6"/>
    <x v="1"/>
    <x v="1"/>
    <x v="1"/>
    <x v="1"/>
    <x v="0"/>
    <n v="197948"/>
    <n v="7936534"/>
    <n v="19797"/>
    <n v="396"/>
    <n v="30"/>
    <n v="149430"/>
    <n v="2.4944138083450532E-3"/>
    <n v="2.0003030762236702E-2"/>
    <s v="High"/>
    <n v="7.575757575757576E-2"/>
    <x v="0"/>
    <n v="4981"/>
    <n v="9.9988887205132091"/>
    <n v="499.86868686868689"/>
    <n v="6598.2666666666664"/>
    <n v="-0.24510477499141189"/>
    <n v="-48518"/>
  </r>
  <r>
    <n v="89459845"/>
    <x v="13"/>
    <x v="6"/>
    <x v="1"/>
    <x v="2"/>
    <x v="2"/>
    <x v="2"/>
    <x v="1"/>
    <n v="56440.3"/>
    <n v="263754"/>
    <n v="5409"/>
    <n v="90"/>
    <n v="11"/>
    <n v="84183"/>
    <n v="2.0507745854091312E-2"/>
    <n v="1.6638935108153077E-2"/>
    <s v="Low"/>
    <n v="0.12222222222222222"/>
    <x v="0"/>
    <n v="7653"/>
    <n v="10.43451654649658"/>
    <n v="627.11444444444453"/>
    <n v="5130.9363636363641"/>
    <n v="0.49154061902576696"/>
    <n v="27742.699999999997"/>
  </r>
  <r>
    <n v="127823"/>
    <x v="13"/>
    <x v="6"/>
    <x v="1"/>
    <x v="3"/>
    <x v="3"/>
    <x v="2"/>
    <x v="1"/>
    <n v="196998"/>
    <n v="3111389"/>
    <n v="14390"/>
    <n v="498"/>
    <n v="48"/>
    <n v="101280"/>
    <n v="4.6249440362487624E-3"/>
    <n v="3.4607366226546213E-2"/>
    <s v="High"/>
    <n v="9.6385542168674704E-2"/>
    <x v="0"/>
    <n v="2110"/>
    <n v="13.689923558026408"/>
    <n v="395.57831325301203"/>
    <n v="4104.125"/>
    <n v="-0.48588310541223767"/>
    <n v="-95718"/>
  </r>
  <r>
    <n v="10934"/>
    <x v="13"/>
    <x v="6"/>
    <x v="1"/>
    <x v="4"/>
    <x v="4"/>
    <x v="2"/>
    <x v="2"/>
    <n v="231751"/>
    <n v="2511956"/>
    <n v="26993"/>
    <n v="540"/>
    <n v="85"/>
    <n v="733550"/>
    <n v="1.0745809241881626E-2"/>
    <n v="2.0005186529841072E-2"/>
    <s v="High"/>
    <n v="0.15740740740740741"/>
    <x v="1"/>
    <n v="8630"/>
    <n v="8.5855962656985145"/>
    <n v="429.16851851851851"/>
    <n v="2726.4823529411765"/>
    <n v="2.1652506353802141"/>
    <n v="501799"/>
  </r>
  <r>
    <n v="9034945"/>
    <x v="13"/>
    <x v="6"/>
    <x v="1"/>
    <x v="5"/>
    <x v="0"/>
    <x v="0"/>
    <x v="0"/>
    <n v="312844"/>
    <n v="3239400"/>
    <n v="16197"/>
    <n v="604"/>
    <n v="72"/>
    <n v="377352"/>
    <n v="5.0000000000000001E-3"/>
    <n v="3.7290856331419396E-2"/>
    <s v="High"/>
    <n v="0.11920529801324503"/>
    <x v="0"/>
    <n v="5241"/>
    <n v="19.314934864481078"/>
    <n v="517.95364238410593"/>
    <n v="4345.0555555555557"/>
    <n v="0.20619861656288757"/>
    <n v="64508"/>
  </r>
  <r>
    <n v="983498"/>
    <x v="13"/>
    <x v="6"/>
    <x v="1"/>
    <x v="6"/>
    <x v="1"/>
    <x v="1"/>
    <x v="0"/>
    <n v="218228"/>
    <n v="5130500"/>
    <n v="30602"/>
    <n v="935"/>
    <n v="54"/>
    <n v="119718"/>
    <n v="5.9647207874476173E-3"/>
    <n v="3.0553558590941769E-2"/>
    <s v="High"/>
    <n v="5.7754010695187166E-2"/>
    <x v="0"/>
    <n v="2217"/>
    <n v="7.1311678975230377"/>
    <n v="233.39893048128343"/>
    <n v="4041.2592592592591"/>
    <n v="-0.45140861850908226"/>
    <n v="-98510"/>
  </r>
  <r>
    <n v="4387490"/>
    <x v="13"/>
    <x v="6"/>
    <x v="1"/>
    <x v="7"/>
    <x v="5"/>
    <x v="2"/>
    <x v="0"/>
    <n v="4764.34"/>
    <n v="55495"/>
    <n v="1790"/>
    <n v="10"/>
    <n v="2"/>
    <n v="10902"/>
    <n v="3.2255158122353363E-2"/>
    <n v="5.5865921787709499E-3"/>
    <s v="Low"/>
    <n v="0.2"/>
    <x v="1"/>
    <n v="5451"/>
    <n v="2.6616424581005589"/>
    <n v="476.43400000000003"/>
    <n v="2382.17"/>
    <n v="1.2882497890578757"/>
    <n v="6137.66"/>
  </r>
  <r>
    <n v="544756"/>
    <x v="13"/>
    <x v="6"/>
    <x v="1"/>
    <x v="8"/>
    <x v="6"/>
    <x v="2"/>
    <x v="0"/>
    <n v="170719"/>
    <n v="605220"/>
    <n v="7205"/>
    <n v="142"/>
    <n v="21"/>
    <n v="14280"/>
    <n v="1.1904761904761904E-2"/>
    <n v="1.9708535739070089E-2"/>
    <s v="Low"/>
    <n v="0.14788732394366197"/>
    <x v="0"/>
    <n v="680"/>
    <n v="23.694517696044414"/>
    <n v="1202.2464788732395"/>
    <n v="8129.4761904761908"/>
    <n v="-0.91635377433091803"/>
    <n v="-156439"/>
  </r>
  <r>
    <n v="374754"/>
    <x v="13"/>
    <x v="6"/>
    <x v="1"/>
    <x v="9"/>
    <x v="4"/>
    <x v="2"/>
    <x v="2"/>
    <n v="205870"/>
    <n v="2429465"/>
    <n v="17998"/>
    <n v="354"/>
    <n v="53"/>
    <n v="306817"/>
    <n v="7.4082153889848176E-3"/>
    <n v="1.9668852094677187E-2"/>
    <s v="Low"/>
    <n v="0.14971751412429379"/>
    <x v="0"/>
    <n v="5789"/>
    <n v="11.438493165907323"/>
    <n v="581.55367231638422"/>
    <n v="3884.3396226415093"/>
    <n v="0.49034342060523634"/>
    <n v="100947"/>
  </r>
  <r>
    <n v="39889"/>
    <x v="13"/>
    <x v="6"/>
    <x v="1"/>
    <x v="10"/>
    <x v="7"/>
    <x v="2"/>
    <x v="3"/>
    <n v="225274"/>
    <n v="7218480"/>
    <n v="25190"/>
    <n v="504"/>
    <n v="76"/>
    <n v="236056"/>
    <n v="3.4896543316598506E-3"/>
    <n v="2.0007939658594681E-2"/>
    <s v="High"/>
    <n v="0.15079365079365079"/>
    <x v="1"/>
    <n v="3106"/>
    <n v="8.9429932512901953"/>
    <n v="446.97222222222223"/>
    <n v="2964.1315789473683"/>
    <n v="4.7861715066985097E-2"/>
    <n v="10782"/>
  </r>
  <r>
    <n v="349043"/>
    <x v="14"/>
    <x v="0"/>
    <x v="0"/>
    <x v="0"/>
    <x v="0"/>
    <x v="0"/>
    <x v="0"/>
    <n v="168064"/>
    <n v="3361800"/>
    <n v="16809"/>
    <n v="247"/>
    <n v="30"/>
    <n v="149430"/>
    <n v="5.0000000000000001E-3"/>
    <n v="1.4694508894044857E-2"/>
    <s v="Low"/>
    <n v="0.1214574898785425"/>
    <x v="0"/>
    <n v="4981"/>
    <n v="9.9984532095901013"/>
    <n v="680.42105263157896"/>
    <n v="5602.1333333333332"/>
    <n v="-0.11087442878903275"/>
    <n v="-18634"/>
  </r>
  <r>
    <n v="348934"/>
    <x v="14"/>
    <x v="0"/>
    <x v="0"/>
    <x v="1"/>
    <x v="1"/>
    <x v="1"/>
    <x v="0"/>
    <n v="593576"/>
    <n v="3441545"/>
    <n v="23103"/>
    <n v="694"/>
    <n v="81"/>
    <n v="403461"/>
    <n v="6.7129733884054984E-3"/>
    <n v="3.0039388823962256E-2"/>
    <s v="High"/>
    <n v="0.11671469740634005"/>
    <x v="0"/>
    <n v="4981"/>
    <n v="25.692594035406657"/>
    <n v="855.29682997118152"/>
    <n v="7328.0987654320988"/>
    <n v="-0.32028754531854386"/>
    <n v="-190115"/>
  </r>
  <r>
    <n v="89459845"/>
    <x v="14"/>
    <x v="0"/>
    <x v="0"/>
    <x v="2"/>
    <x v="2"/>
    <x v="2"/>
    <x v="1"/>
    <n v="82930.7"/>
    <n v="315350"/>
    <n v="6307"/>
    <n v="126"/>
    <n v="19"/>
    <n v="138073"/>
    <n v="0.02"/>
    <n v="1.9977802441731411E-2"/>
    <s v="Low"/>
    <n v="0.15079365079365079"/>
    <x v="1"/>
    <n v="7267"/>
    <n v="13.148993182178531"/>
    <n v="658.18015873015872"/>
    <n v="4364.773684210526"/>
    <n v="0.66492022857638977"/>
    <n v="55142.3"/>
  </r>
  <r>
    <n v="127823"/>
    <x v="14"/>
    <x v="0"/>
    <x v="0"/>
    <x v="3"/>
    <x v="3"/>
    <x v="2"/>
    <x v="1"/>
    <n v="124854"/>
    <n v="3359600"/>
    <n v="16798"/>
    <n v="336"/>
    <n v="31"/>
    <n v="92411"/>
    <n v="5.0000000000000001E-3"/>
    <n v="2.0002381235861413E-2"/>
    <s v="High"/>
    <n v="9.2261904761904767E-2"/>
    <x v="0"/>
    <n v="2981"/>
    <n v="7.4326705560185733"/>
    <n v="371.58928571428572"/>
    <n v="4027.5483870967741"/>
    <n v="-0.25984750188219841"/>
    <n v="-32443"/>
  </r>
  <r>
    <n v="10934"/>
    <x v="14"/>
    <x v="0"/>
    <x v="0"/>
    <x v="4"/>
    <x v="4"/>
    <x v="2"/>
    <x v="2"/>
    <n v="151480"/>
    <n v="2478877"/>
    <n v="31504"/>
    <n v="630"/>
    <n v="98"/>
    <n v="782138"/>
    <n v="1.2708980719898568E-2"/>
    <n v="1.9997460639918741E-2"/>
    <s v="Low"/>
    <n v="0.15555555555555556"/>
    <x v="1"/>
    <n v="7981"/>
    <n v="4.8082783138649061"/>
    <n v="240.44444444444446"/>
    <n v="1545.7142857142858"/>
    <n v="4.163308687615527"/>
    <n v="630658"/>
  </r>
  <r>
    <n v="9034945"/>
    <x v="14"/>
    <x v="0"/>
    <x v="0"/>
    <x v="5"/>
    <x v="0"/>
    <x v="0"/>
    <x v="0"/>
    <n v="136269"/>
    <n v="3780200"/>
    <n v="18901"/>
    <n v="378"/>
    <n v="45"/>
    <n v="269145"/>
    <n v="5.0000000000000001E-3"/>
    <n v="1.9998941854928311E-2"/>
    <s v="Low"/>
    <n v="0.11904761904761904"/>
    <x v="0"/>
    <n v="5981"/>
    <n v="7.2096185387016556"/>
    <n v="360.5"/>
    <n v="3028.2"/>
    <n v="0.97510071989961034"/>
    <n v="132876"/>
  </r>
  <r>
    <n v="983498"/>
    <x v="14"/>
    <x v="0"/>
    <x v="0"/>
    <x v="6"/>
    <x v="1"/>
    <x v="1"/>
    <x v="0"/>
    <n v="37098.6"/>
    <n v="7138400"/>
    <n v="35692"/>
    <n v="916"/>
    <n v="11"/>
    <n v="21791"/>
    <n v="5.0000000000000001E-3"/>
    <n v="2.566401434495125E-2"/>
    <s v="High"/>
    <n v="1.2008733624454149E-2"/>
    <x v="0"/>
    <n v="1981"/>
    <n v="1.0394093914602711"/>
    <n v="40.500655021834056"/>
    <n v="3372.6"/>
    <n v="-0.41261934412619344"/>
    <n v="-15307.599999999999"/>
  </r>
  <r>
    <n v="4387490"/>
    <x v="14"/>
    <x v="0"/>
    <x v="0"/>
    <x v="7"/>
    <x v="5"/>
    <x v="2"/>
    <x v="0"/>
    <n v="14609.5"/>
    <n v="63986"/>
    <n v="2099"/>
    <n v="28"/>
    <n v="5"/>
    <n v="24905"/>
    <n v="3.2804050886131343E-2"/>
    <n v="1.3339685564554549E-2"/>
    <s v="Low"/>
    <n v="0.17857142857142858"/>
    <x v="1"/>
    <n v="4981"/>
    <n v="6.9602191519771317"/>
    <n v="521.76785714285711"/>
    <n v="2921.9"/>
    <n v="0.70471268695027212"/>
    <n v="10295.5"/>
  </r>
  <r>
    <n v="544756"/>
    <x v="14"/>
    <x v="0"/>
    <x v="0"/>
    <x v="8"/>
    <x v="6"/>
    <x v="2"/>
    <x v="0"/>
    <n v="6587.76"/>
    <n v="1093435"/>
    <n v="8402"/>
    <n v="4"/>
    <n v="1"/>
    <n v="741"/>
    <n v="7.6840415754022874E-3"/>
    <n v="4.7607712449416806E-4"/>
    <s v="Low"/>
    <n v="0.25"/>
    <x v="1"/>
    <n v="741"/>
    <n v="0.78407045941442521"/>
    <n v="1646.94"/>
    <n v="6587.76"/>
    <n v="-0.88751867098983572"/>
    <n v="-5846.76"/>
  </r>
  <r>
    <n v="374754"/>
    <x v="14"/>
    <x v="0"/>
    <x v="0"/>
    <x v="9"/>
    <x v="4"/>
    <x v="2"/>
    <x v="2"/>
    <n v="82452"/>
    <n v="2100700"/>
    <n v="21007"/>
    <n v="122"/>
    <n v="24"/>
    <n v="103392"/>
    <n v="0.01"/>
    <n v="5.8075879468748514E-3"/>
    <s v="Low"/>
    <n v="0.19672131147540983"/>
    <x v="1"/>
    <n v="4308"/>
    <n v="3.9249773884895509"/>
    <n v="675.8360655737705"/>
    <n v="3435.5"/>
    <n v="0.25396594382186"/>
    <n v="20940"/>
  </r>
  <r>
    <n v="39889"/>
    <x v="14"/>
    <x v="0"/>
    <x v="0"/>
    <x v="10"/>
    <x v="7"/>
    <x v="2"/>
    <x v="3"/>
    <n v="543275"/>
    <n v="8747458"/>
    <n v="29390"/>
    <n v="1061"/>
    <n v="171"/>
    <n v="809685"/>
    <n v="3.3598332224058693E-3"/>
    <n v="3.6100714528751278E-2"/>
    <s v="High"/>
    <n v="0.16116870876531575"/>
    <x v="1"/>
    <n v="4735"/>
    <n v="18.485028921401838"/>
    <n v="512.04052780395853"/>
    <n v="3177.0467836257308"/>
    <n v="0.49037780129768532"/>
    <n v="266410"/>
  </r>
  <r>
    <n v="349043"/>
    <x v="15"/>
    <x v="1"/>
    <x v="0"/>
    <x v="0"/>
    <x v="0"/>
    <x v="0"/>
    <x v="0"/>
    <n v="393027"/>
    <n v="3839000"/>
    <n v="19195"/>
    <n v="384"/>
    <n v="64"/>
    <n v="336448"/>
    <n v="5.0000000000000001E-3"/>
    <n v="2.0005209690023444E-2"/>
    <s v="High"/>
    <n v="0.16666666666666666"/>
    <x v="1"/>
    <n v="5257"/>
    <n v="20.475488408439698"/>
    <n v="1023.5078125"/>
    <n v="6141.046875"/>
    <n v="-0.14395703094189458"/>
    <n v="-56579"/>
  </r>
  <r>
    <n v="348934"/>
    <x v="15"/>
    <x v="1"/>
    <x v="0"/>
    <x v="1"/>
    <x v="1"/>
    <x v="1"/>
    <x v="0"/>
    <n v="595176"/>
    <n v="5280000"/>
    <n v="26400"/>
    <n v="923"/>
    <n v="80"/>
    <n v="392160"/>
    <n v="5.0000000000000001E-3"/>
    <n v="3.4962121212121215E-2"/>
    <s v="High"/>
    <n v="8.6673889490790898E-2"/>
    <x v="0"/>
    <n v="4902"/>
    <n v="22.544545454545453"/>
    <n v="644.82773564463707"/>
    <n v="7439.7"/>
    <n v="-0.34110246380902454"/>
    <n v="-203016"/>
  </r>
  <r>
    <n v="89459845"/>
    <x v="15"/>
    <x v="1"/>
    <x v="0"/>
    <x v="2"/>
    <x v="2"/>
    <x v="2"/>
    <x v="1"/>
    <n v="102053"/>
    <n v="373184"/>
    <n v="7198"/>
    <n v="144"/>
    <n v="22"/>
    <n v="185482"/>
    <n v="1.9288072371805864E-2"/>
    <n v="2.0005557099194219E-2"/>
    <s v="High"/>
    <n v="0.15277777777777779"/>
    <x v="1"/>
    <n v="8431"/>
    <n v="14.177966101694915"/>
    <n v="708.70138888888891"/>
    <n v="4638.772727272727"/>
    <n v="0.81750658971318824"/>
    <n v="83429"/>
  </r>
  <r>
    <n v="127823"/>
    <x v="15"/>
    <x v="1"/>
    <x v="0"/>
    <x v="3"/>
    <x v="3"/>
    <x v="2"/>
    <x v="1"/>
    <n v="271906"/>
    <n v="3841400"/>
    <n v="19207"/>
    <n v="666"/>
    <n v="67"/>
    <n v="199727"/>
    <n v="5.0000000000000001E-3"/>
    <n v="3.4674858124642056E-2"/>
    <s v="High"/>
    <n v="0.1006006006006006"/>
    <x v="0"/>
    <n v="2981"/>
    <n v="14.156609569427813"/>
    <n v="408.26726726726724"/>
    <n v="4058.2985074626868"/>
    <n v="-0.26545570895824294"/>
    <n v="-72179"/>
  </r>
  <r>
    <n v="10934"/>
    <x v="15"/>
    <x v="1"/>
    <x v="0"/>
    <x v="4"/>
    <x v="4"/>
    <x v="2"/>
    <x v="2"/>
    <n v="221258"/>
    <n v="4371118"/>
    <n v="35999"/>
    <n v="720"/>
    <n v="128"/>
    <n v="1021570"/>
    <n v="8.2356504674547786E-3"/>
    <n v="2.0000555570988083E-2"/>
    <s v="High"/>
    <n v="0.17777777777777778"/>
    <x v="1"/>
    <n v="7981.015625"/>
    <n v="6.1462262840634461"/>
    <n v="307.30277777777781"/>
    <n v="1728.578125"/>
    <n v="3.6170985907854178"/>
    <n v="800312"/>
  </r>
  <r>
    <n v="9034945"/>
    <x v="15"/>
    <x v="1"/>
    <x v="0"/>
    <x v="5"/>
    <x v="0"/>
    <x v="0"/>
    <x v="0"/>
    <n v="143680"/>
    <n v="4319200"/>
    <n v="21596"/>
    <n v="432"/>
    <n v="34"/>
    <n v="171972"/>
    <n v="5.0000000000000001E-3"/>
    <n v="2.0003704389701796E-2"/>
    <s v="High"/>
    <n v="7.8703703703703706E-2"/>
    <x v="0"/>
    <n v="5058"/>
    <n v="6.6530839044267456"/>
    <n v="332.59259259259261"/>
    <n v="4225.8823529411766"/>
    <n v="0.1969097995545657"/>
    <n v="28292"/>
  </r>
  <r>
    <n v="983498"/>
    <x v="15"/>
    <x v="1"/>
    <x v="0"/>
    <x v="6"/>
    <x v="1"/>
    <x v="1"/>
    <x v="0"/>
    <n v="103731"/>
    <n v="15988504"/>
    <n v="40794"/>
    <n v="816"/>
    <n v="24"/>
    <n v="41424"/>
    <n v="2.5514582227330338E-3"/>
    <n v="2.0002941609060156E-2"/>
    <s v="High"/>
    <n v="2.9411764705882353E-2"/>
    <x v="0"/>
    <n v="1726"/>
    <n v="2.5428004118252683"/>
    <n v="127.12132352941177"/>
    <n v="4322.125"/>
    <n v="-0.60065939786563327"/>
    <n v="-62307"/>
  </r>
  <r>
    <n v="4387490"/>
    <x v="15"/>
    <x v="1"/>
    <x v="0"/>
    <x v="7"/>
    <x v="5"/>
    <x v="2"/>
    <x v="0"/>
    <n v="31712"/>
    <n v="80233"/>
    <n v="2407"/>
    <n v="48"/>
    <n v="12"/>
    <n v="59772"/>
    <n v="3.0000124636994752E-2"/>
    <n v="1.9941836310760283E-2"/>
    <s v="Low"/>
    <n v="0.25"/>
    <x v="1"/>
    <n v="4981"/>
    <n v="13.174906522642294"/>
    <n v="660.66666666666663"/>
    <n v="2642.6666666666665"/>
    <n v="0.88483854692230068"/>
    <n v="28060"/>
  </r>
  <r>
    <n v="544756"/>
    <x v="15"/>
    <x v="1"/>
    <x v="0"/>
    <x v="8"/>
    <x v="6"/>
    <x v="2"/>
    <x v="0"/>
    <n v="345629"/>
    <n v="1576818"/>
    <n v="9597"/>
    <n v="292"/>
    <n v="39"/>
    <n v="25857"/>
    <n v="6.086307994962006E-3"/>
    <n v="3.0426174846306137E-2"/>
    <s v="High"/>
    <n v="0.13356164383561644"/>
    <x v="0"/>
    <n v="663"/>
    <n v="36.014275294362825"/>
    <n v="1183.6609589041095"/>
    <n v="8862.2820512820508"/>
    <n v="-0.92518856924621484"/>
    <n v="-319772"/>
  </r>
  <r>
    <n v="374754"/>
    <x v="15"/>
    <x v="1"/>
    <x v="0"/>
    <x v="9"/>
    <x v="4"/>
    <x v="2"/>
    <x v="2"/>
    <n v="620903"/>
    <n v="3937010"/>
    <n v="23994"/>
    <n v="833"/>
    <n v="160"/>
    <n v="939360"/>
    <n v="6.0944727089847373E-3"/>
    <n v="3.4717012586479953E-2"/>
    <s v="High"/>
    <n v="0.19207683073229292"/>
    <x v="1"/>
    <n v="5871"/>
    <n v="25.877427690255896"/>
    <n v="745.38175270108047"/>
    <n v="3880.6437500000002"/>
    <n v="0.51289331827998896"/>
    <n v="318457"/>
  </r>
  <r>
    <n v="39889"/>
    <x v="15"/>
    <x v="1"/>
    <x v="0"/>
    <x v="10"/>
    <x v="7"/>
    <x v="2"/>
    <x v="3"/>
    <n v="206424"/>
    <n v="56876855"/>
    <n v="33592"/>
    <n v="416"/>
    <n v="62"/>
    <n v="246822"/>
    <n v="5.9060930847881798E-4"/>
    <n v="1.238390092879257E-2"/>
    <s v="Low"/>
    <n v="0.14903846153846154"/>
    <x v="0"/>
    <n v="3981"/>
    <n v="6.1450345320314357"/>
    <n v="496.21153846153845"/>
    <n v="3329.4193548387098"/>
    <n v="0.19570398790838275"/>
    <n v="40398"/>
  </r>
  <r>
    <n v="349043"/>
    <x v="16"/>
    <x v="2"/>
    <x v="0"/>
    <x v="0"/>
    <x v="0"/>
    <x v="0"/>
    <x v="0"/>
    <n v="489831"/>
    <n v="4320600"/>
    <n v="21603"/>
    <n v="652"/>
    <n v="86"/>
    <n v="428366"/>
    <n v="5.0000000000000001E-3"/>
    <n v="3.0180993380548998E-2"/>
    <s v="High"/>
    <n v="0.13190184049079753"/>
    <x v="0"/>
    <n v="4981"/>
    <n v="22.674211915011803"/>
    <n v="751.27453987730064"/>
    <n v="5695.7093023255811"/>
    <n v="-0.12548205401454787"/>
    <n v="-61465"/>
  </r>
  <r>
    <n v="348934"/>
    <x v="16"/>
    <x v="2"/>
    <x v="0"/>
    <x v="1"/>
    <x v="1"/>
    <x v="1"/>
    <x v="0"/>
    <n v="403691"/>
    <n v="6102420"/>
    <n v="29704"/>
    <n v="594"/>
    <n v="61"/>
    <n v="303841"/>
    <n v="4.8675771251405183E-3"/>
    <n v="1.9997306760032318E-2"/>
    <s v="Low"/>
    <n v="0.1026936026936027"/>
    <x v="0"/>
    <n v="4981"/>
    <n v="13.590459197414489"/>
    <n v="679.61447811447806"/>
    <n v="6617.8852459016398"/>
    <n v="-0.24734264573646675"/>
    <n v="-99850"/>
  </r>
  <r>
    <n v="89459845"/>
    <x v="16"/>
    <x v="2"/>
    <x v="0"/>
    <x v="2"/>
    <x v="2"/>
    <x v="2"/>
    <x v="1"/>
    <n v="116213"/>
    <n v="490058"/>
    <n v="8104"/>
    <n v="162"/>
    <n v="31"/>
    <n v="227726"/>
    <n v="1.653681809091985E-2"/>
    <n v="1.9990128331688055E-2"/>
    <s v="Low"/>
    <n v="0.19135802469135801"/>
    <x v="1"/>
    <n v="7346"/>
    <n v="14.340202369200394"/>
    <n v="717.3641975308642"/>
    <n v="3748.8064516129034"/>
    <n v="0.95955702029893386"/>
    <n v="111513"/>
  </r>
  <r>
    <n v="127823"/>
    <x v="16"/>
    <x v="2"/>
    <x v="0"/>
    <x v="3"/>
    <x v="3"/>
    <x v="2"/>
    <x v="1"/>
    <n v="180223"/>
    <n v="4319200"/>
    <n v="21596"/>
    <n v="442"/>
    <n v="44"/>
    <n v="136708"/>
    <n v="5.0000000000000001E-3"/>
    <n v="2.0466753102426374E-2"/>
    <s v="High"/>
    <n v="9.9547511312217188E-2"/>
    <x v="0"/>
    <n v="3107"/>
    <n v="8.3452028153361741"/>
    <n v="407.74434389140271"/>
    <n v="4095.9772727272725"/>
    <n v="-0.24145086920093439"/>
    <n v="-43515"/>
  </r>
  <r>
    <n v="10934"/>
    <x v="16"/>
    <x v="2"/>
    <x v="0"/>
    <x v="4"/>
    <x v="4"/>
    <x v="2"/>
    <x v="2"/>
    <n v="363811"/>
    <n v="4049400"/>
    <n v="40494"/>
    <n v="746"/>
    <n v="149"/>
    <n v="1189170"/>
    <n v="0.01"/>
    <n v="1.8422482343063169E-2"/>
    <s v="Low"/>
    <n v="0.19973190348525469"/>
    <x v="1"/>
    <n v="7981.0067114093963"/>
    <n v="8.9843186644935056"/>
    <n v="487.6823056300268"/>
    <n v="2441.6845637583892"/>
    <n v="2.268647731926742"/>
    <n v="825359"/>
  </r>
  <r>
    <n v="9034945"/>
    <x v="16"/>
    <x v="2"/>
    <x v="0"/>
    <x v="5"/>
    <x v="0"/>
    <x v="0"/>
    <x v="0"/>
    <n v="246023"/>
    <n v="4999407"/>
    <n v="24294"/>
    <n v="606"/>
    <n v="73"/>
    <n v="496546"/>
    <n v="4.859376322031793E-3"/>
    <n v="2.4944430723635464E-2"/>
    <s v="High"/>
    <n v="0.12046204620462046"/>
    <x v="0"/>
    <n v="6802"/>
    <n v="10.126903762245822"/>
    <n v="405.97854785478546"/>
    <n v="3370.178082191781"/>
    <n v="1.0182909727952265"/>
    <n v="250523"/>
  </r>
  <r>
    <n v="983498"/>
    <x v="16"/>
    <x v="2"/>
    <x v="0"/>
    <x v="6"/>
    <x v="1"/>
    <x v="1"/>
    <x v="0"/>
    <n v="162819"/>
    <n v="32964848"/>
    <n v="45907"/>
    <n v="974"/>
    <n v="46"/>
    <n v="121900"/>
    <n v="1.3926046314546938E-3"/>
    <n v="2.1216807894220924E-2"/>
    <s v="High"/>
    <n v="4.7227926078028747E-2"/>
    <x v="0"/>
    <n v="2650"/>
    <n v="3.5467140087568345"/>
    <n v="167.16529774127309"/>
    <n v="3539.5434782608695"/>
    <n v="-0.25131587836800373"/>
    <n v="-40919"/>
  </r>
  <r>
    <n v="4387490"/>
    <x v="16"/>
    <x v="2"/>
    <x v="0"/>
    <x v="7"/>
    <x v="5"/>
    <x v="2"/>
    <x v="0"/>
    <n v="31422.5"/>
    <n v="84332"/>
    <n v="2698"/>
    <n v="54"/>
    <n v="11"/>
    <n v="45441"/>
    <n v="3.1992600673528437E-2"/>
    <n v="2.0014825796886581E-2"/>
    <s v="High"/>
    <n v="0.20370370370370369"/>
    <x v="1"/>
    <n v="4131"/>
    <n v="11.646590066716087"/>
    <n v="581.89814814814815"/>
    <n v="2856.590909090909"/>
    <n v="0.44612936590023072"/>
    <n v="14018.5"/>
  </r>
  <r>
    <n v="544756"/>
    <x v="16"/>
    <x v="2"/>
    <x v="0"/>
    <x v="8"/>
    <x v="6"/>
    <x v="2"/>
    <x v="0"/>
    <n v="291254"/>
    <n v="1361187"/>
    <n v="10810"/>
    <n v="216"/>
    <n v="32"/>
    <n v="31392"/>
    <n v="7.9415980317179054E-3"/>
    <n v="1.9981498612395929E-2"/>
    <s v="Low"/>
    <n v="0.14814814814814814"/>
    <x v="0"/>
    <n v="981"/>
    <n v="26.943015726179464"/>
    <n v="1348.398148148148"/>
    <n v="9101.6875"/>
    <n v="-0.89221778928358064"/>
    <n v="-259862"/>
  </r>
  <r>
    <n v="374754"/>
    <x v="16"/>
    <x v="2"/>
    <x v="0"/>
    <x v="9"/>
    <x v="4"/>
    <x v="2"/>
    <x v="2"/>
    <n v="462606"/>
    <n v="2795511"/>
    <n v="26990"/>
    <n v="795"/>
    <n v="119"/>
    <n v="592739"/>
    <n v="9.6547643704496238E-3"/>
    <n v="2.9455353834753614E-2"/>
    <s v="High"/>
    <n v="0.14968553459119496"/>
    <x v="0"/>
    <n v="4981"/>
    <n v="17.139903668025195"/>
    <n v="581.8943396226415"/>
    <n v="3887.4453781512607"/>
    <n v="0.28130417677245861"/>
    <n v="130133"/>
  </r>
  <r>
    <n v="39889"/>
    <x v="16"/>
    <x v="2"/>
    <x v="0"/>
    <x v="10"/>
    <x v="7"/>
    <x v="2"/>
    <x v="3"/>
    <n v="523398"/>
    <n v="16553044"/>
    <n v="37805"/>
    <n v="756"/>
    <n v="142"/>
    <n v="565302"/>
    <n v="2.2838699637359751E-3"/>
    <n v="1.9997354847242427E-2"/>
    <s v="Low"/>
    <n v="0.18783068783068782"/>
    <x v="1"/>
    <n v="3981"/>
    <n v="13.844676630075387"/>
    <n v="692.32539682539687"/>
    <n v="3685.9014084507044"/>
    <n v="8.0061444636777362E-2"/>
    <n v="41904"/>
  </r>
  <r>
    <n v="349043"/>
    <x v="17"/>
    <x v="3"/>
    <x v="0"/>
    <x v="0"/>
    <x v="0"/>
    <x v="0"/>
    <x v="0"/>
    <n v="30892.2"/>
    <n v="4798200"/>
    <n v="23991"/>
    <n v="61"/>
    <n v="6"/>
    <n v="25686"/>
    <n v="5.0000000000000001E-3"/>
    <n v="2.5426201492226254E-3"/>
    <s v="Low"/>
    <n v="9.8360655737704916E-2"/>
    <x v="0"/>
    <n v="4281"/>
    <n v="1.2876578717018883"/>
    <n v="506.42950819672132"/>
    <n v="5148.7"/>
    <n v="-0.16852797793617807"/>
    <n v="-5206.2000000000007"/>
  </r>
  <r>
    <n v="348934"/>
    <x v="17"/>
    <x v="3"/>
    <x v="0"/>
    <x v="1"/>
    <x v="1"/>
    <x v="1"/>
    <x v="0"/>
    <n v="373294"/>
    <n v="4678356"/>
    <n v="33003"/>
    <n v="1313"/>
    <n v="51"/>
    <n v="237711"/>
    <n v="7.0544011614336322E-3"/>
    <n v="3.9784262036784535E-2"/>
    <s v="High"/>
    <n v="3.8842345773038842E-2"/>
    <x v="0"/>
    <n v="4661"/>
    <n v="11.310911129291277"/>
    <n v="284.30616907844632"/>
    <n v="7319.4901960784309"/>
    <n v="-0.36320701645351922"/>
    <n v="-135583"/>
  </r>
  <r>
    <n v="89459845"/>
    <x v="17"/>
    <x v="3"/>
    <x v="0"/>
    <x v="2"/>
    <x v="2"/>
    <x v="2"/>
    <x v="1"/>
    <n v="119542"/>
    <n v="527210"/>
    <n v="9004"/>
    <n v="162"/>
    <n v="28"/>
    <n v="214368"/>
    <n v="1.7078583486656172E-2"/>
    <n v="1.799200355397601E-2"/>
    <s v="Low"/>
    <n v="0.1728395061728395"/>
    <x v="1"/>
    <n v="7656"/>
    <n v="13.27654375832963"/>
    <n v="737.91358024691363"/>
    <n v="4269.3571428571431"/>
    <n v="0.7932442154221947"/>
    <n v="94826"/>
  </r>
  <r>
    <n v="127823"/>
    <x v="17"/>
    <x v="3"/>
    <x v="0"/>
    <x v="3"/>
    <x v="3"/>
    <x v="2"/>
    <x v="1"/>
    <n v="200986"/>
    <n v="10593685"/>
    <n v="24005"/>
    <n v="480"/>
    <n v="43"/>
    <n v="93353"/>
    <n v="2.2659726053776376E-3"/>
    <n v="1.9995834201208082E-2"/>
    <s v="Low"/>
    <n v="8.9583333333333334E-2"/>
    <x v="0"/>
    <n v="2171"/>
    <n v="8.3726723599250157"/>
    <n v="418.72083333333336"/>
    <n v="4674.0930232558139"/>
    <n v="-0.53552486242822883"/>
    <n v="-107633"/>
  </r>
  <r>
    <n v="10934"/>
    <x v="17"/>
    <x v="3"/>
    <x v="0"/>
    <x v="4"/>
    <x v="4"/>
    <x v="2"/>
    <x v="2"/>
    <n v="86522.9"/>
    <n v="4064081"/>
    <n v="45004"/>
    <n v="144"/>
    <n v="31"/>
    <n v="256897"/>
    <n v="1.1073598188618781E-2"/>
    <n v="3.199715580837259E-3"/>
    <s v="Low"/>
    <n v="0.21527777777777779"/>
    <x v="1"/>
    <n v="8287"/>
    <n v="1.9225602168696114"/>
    <n v="600.85347222222219"/>
    <n v="2791.0612903225806"/>
    <n v="1.9691214695762627"/>
    <n v="170374.1"/>
  </r>
  <r>
    <n v="9034945"/>
    <x v="17"/>
    <x v="3"/>
    <x v="0"/>
    <x v="5"/>
    <x v="0"/>
    <x v="0"/>
    <x v="0"/>
    <n v="241388"/>
    <n v="11212959"/>
    <n v="27009"/>
    <n v="599"/>
    <n v="72"/>
    <n v="430632"/>
    <n v="2.4087308265374019E-3"/>
    <n v="2.2177792587655967E-2"/>
    <s v="High"/>
    <n v="0.12020033388981637"/>
    <x v="0"/>
    <n v="5981"/>
    <n v="8.9373171905661071"/>
    <n v="402.98497495826376"/>
    <n v="3352.6111111111113"/>
    <n v="0.78398263376804145"/>
    <n v="189244"/>
  </r>
  <r>
    <n v="983498"/>
    <x v="17"/>
    <x v="3"/>
    <x v="0"/>
    <x v="6"/>
    <x v="1"/>
    <x v="1"/>
    <x v="0"/>
    <n v="58596.4"/>
    <n v="13281923"/>
    <n v="51000"/>
    <n v="1020"/>
    <n v="16"/>
    <n v="36016"/>
    <n v="3.8398054257655313E-3"/>
    <n v="0.02"/>
    <s v="High"/>
    <n v="1.5686274509803921E-2"/>
    <x v="0"/>
    <n v="2251"/>
    <n v="1.1489490196078431"/>
    <n v="57.447450980392155"/>
    <n v="3662.2750000000001"/>
    <n v="-0.38535473169000145"/>
    <n v="-22580.400000000001"/>
  </r>
  <r>
    <n v="4387490"/>
    <x v="17"/>
    <x v="3"/>
    <x v="0"/>
    <x v="7"/>
    <x v="5"/>
    <x v="2"/>
    <x v="0"/>
    <n v="17176.7"/>
    <n v="97885"/>
    <n v="2991"/>
    <n v="28"/>
    <n v="6"/>
    <n v="33930"/>
    <n v="3.0556265004852635E-2"/>
    <n v="9.3614175860916079E-3"/>
    <s v="Low"/>
    <n v="0.21428571428571427"/>
    <x v="1"/>
    <n v="5655"/>
    <n v="5.7427950518221333"/>
    <n v="613.45357142857142"/>
    <n v="2862.7833333333333"/>
    <n v="0.97535032922505482"/>
    <n v="16753.3"/>
  </r>
  <r>
    <n v="544756"/>
    <x v="17"/>
    <x v="3"/>
    <x v="0"/>
    <x v="8"/>
    <x v="6"/>
    <x v="2"/>
    <x v="0"/>
    <n v="171831"/>
    <n v="1181224"/>
    <n v="11991"/>
    <n v="128"/>
    <n v="19"/>
    <n v="17917"/>
    <n v="1.0151334547892694E-2"/>
    <n v="1.0674672671170045E-2"/>
    <s v="Low"/>
    <n v="0.1484375"/>
    <x v="0"/>
    <n v="943"/>
    <n v="14.329997498123593"/>
    <n v="1342.4296875"/>
    <n v="9043.7368421052633"/>
    <n v="-0.89572894297303751"/>
    <n v="-153914"/>
  </r>
  <r>
    <n v="374754"/>
    <x v="17"/>
    <x v="3"/>
    <x v="0"/>
    <x v="9"/>
    <x v="4"/>
    <x v="2"/>
    <x v="2"/>
    <n v="518530"/>
    <n v="2482796"/>
    <n v="30000"/>
    <n v="1032"/>
    <n v="134"/>
    <n v="796630"/>
    <n v="1.2083151414775922E-2"/>
    <n v="3.44E-2"/>
    <s v="High"/>
    <n v="0.12984496124031009"/>
    <x v="0"/>
    <n v="5945"/>
    <n v="17.284333333333333"/>
    <n v="502.45155038759691"/>
    <n v="3869.626865671642"/>
    <n v="0.53632383854357513"/>
    <n v="278100"/>
  </r>
  <r>
    <n v="39889"/>
    <x v="17"/>
    <x v="3"/>
    <x v="0"/>
    <x v="10"/>
    <x v="7"/>
    <x v="2"/>
    <x v="3"/>
    <n v="339735"/>
    <n v="419970000"/>
    <n v="41997"/>
    <n v="840"/>
    <n v="114"/>
    <n v="516420"/>
    <n v="1E-4"/>
    <n v="2.0001428673476675E-2"/>
    <s v="High"/>
    <n v="0.1357142857142857"/>
    <x v="0"/>
    <n v="4530"/>
    <n v="8.0895063933138083"/>
    <n v="404.44642857142856"/>
    <n v="2980.1315789473683"/>
    <n v="0.52006711113073423"/>
    <n v="176685"/>
  </r>
  <r>
    <n v="349043"/>
    <x v="18"/>
    <x v="4"/>
    <x v="0"/>
    <x v="0"/>
    <x v="0"/>
    <x v="0"/>
    <x v="0"/>
    <n v="53253.9"/>
    <n v="15345139"/>
    <n v="26407"/>
    <n v="71"/>
    <n v="10"/>
    <n v="44550"/>
    <n v="1.7208706939702534E-3"/>
    <n v="2.6886810315446662E-3"/>
    <s v="Low"/>
    <n v="0.14084507042253522"/>
    <x v="0"/>
    <n v="4455"/>
    <n v="2.0166584617715002"/>
    <n v="750.0549295774648"/>
    <n v="5325.39"/>
    <n v="-0.16344155075966268"/>
    <n v="-8703.9000000000015"/>
  </r>
  <r>
    <n v="348934"/>
    <x v="18"/>
    <x v="4"/>
    <x v="0"/>
    <x v="1"/>
    <x v="1"/>
    <x v="1"/>
    <x v="0"/>
    <n v="415376"/>
    <n v="7260800"/>
    <n v="36304"/>
    <n v="726"/>
    <n v="58"/>
    <n v="288898"/>
    <n v="5.0000000000000001E-3"/>
    <n v="1.9997796386073161E-2"/>
    <s v="Low"/>
    <n v="7.9889807162534437E-2"/>
    <x v="0"/>
    <n v="4981"/>
    <n v="11.44160423093874"/>
    <n v="572.14325068870528"/>
    <n v="7161.6551724137935"/>
    <n v="-0.30449038943029927"/>
    <n v="-126478"/>
  </r>
  <r>
    <n v="89459845"/>
    <x v="18"/>
    <x v="4"/>
    <x v="0"/>
    <x v="2"/>
    <x v="2"/>
    <x v="2"/>
    <x v="1"/>
    <n v="9777.5499999999993"/>
    <n v="413291"/>
    <n v="9904"/>
    <n v="14"/>
    <n v="2"/>
    <n v="15962"/>
    <n v="2.3963744673849659E-2"/>
    <n v="1.4135702746365104E-3"/>
    <s v="Low"/>
    <n v="0.14285714285714285"/>
    <x v="0"/>
    <n v="7981"/>
    <n v="0.98723243134087235"/>
    <n v="698.39642857142849"/>
    <n v="4888.7749999999996"/>
    <n v="0.6325153029133066"/>
    <n v="6184.4500000000007"/>
  </r>
  <r>
    <n v="127823"/>
    <x v="18"/>
    <x v="4"/>
    <x v="0"/>
    <x v="3"/>
    <x v="3"/>
    <x v="2"/>
    <x v="1"/>
    <n v="81623.5"/>
    <n v="8455475"/>
    <n v="26406"/>
    <n v="281"/>
    <n v="20"/>
    <n v="72300"/>
    <n v="3.122946966314725E-3"/>
    <n v="1.0641520866469741E-2"/>
    <s v="Low"/>
    <n v="7.1174377224199295E-2"/>
    <x v="0"/>
    <n v="3615"/>
    <n v="3.0910967204423239"/>
    <n v="290.47508896797154"/>
    <n v="4081.1750000000002"/>
    <n v="-0.11422568255465644"/>
    <n v="-9323.5"/>
  </r>
  <r>
    <n v="10934"/>
    <x v="18"/>
    <x v="4"/>
    <x v="0"/>
    <x v="4"/>
    <x v="4"/>
    <x v="2"/>
    <x v="2"/>
    <n v="880357"/>
    <n v="3801165"/>
    <n v="49510"/>
    <n v="1666"/>
    <n v="369"/>
    <n v="2812520"/>
    <n v="1.3024954191675446E-2"/>
    <n v="3.3649767723692187E-2"/>
    <s v="High"/>
    <n v="0.22148859543817526"/>
    <x v="1"/>
    <n v="7622.0054200542008"/>
    <n v="17.781397697434862"/>
    <n v="528.42557022809126"/>
    <n v="2385.791327913279"/>
    <n v="2.1947494027990917"/>
    <n v="1932163"/>
  </r>
  <r>
    <n v="9034945"/>
    <x v="18"/>
    <x v="4"/>
    <x v="0"/>
    <x v="5"/>
    <x v="0"/>
    <x v="0"/>
    <x v="0"/>
    <n v="300775"/>
    <n v="6168252"/>
    <n v="29699"/>
    <n v="1082"/>
    <n v="96"/>
    <n v="574176"/>
    <n v="4.8148162558857843E-3"/>
    <n v="3.6432203104481635E-2"/>
    <s v="High"/>
    <n v="8.8724584103512014E-2"/>
    <x v="0"/>
    <n v="5981"/>
    <n v="10.127445368530926"/>
    <n v="277.98059149722735"/>
    <n v="3133.0729166666665"/>
    <n v="0.90898844651317434"/>
    <n v="273401"/>
  </r>
  <r>
    <n v="983498"/>
    <x v="18"/>
    <x v="4"/>
    <x v="0"/>
    <x v="6"/>
    <x v="1"/>
    <x v="1"/>
    <x v="0"/>
    <n v="9908.98"/>
    <n v="11222000"/>
    <n v="56110"/>
    <n v="185"/>
    <n v="3"/>
    <n v="3621"/>
    <n v="5.0000000000000001E-3"/>
    <n v="3.2970949919800393E-3"/>
    <s v="Low"/>
    <n v="1.6216216216216217E-2"/>
    <x v="0"/>
    <n v="1207"/>
    <n v="0.17659918018178578"/>
    <n v="53.562054054054052"/>
    <n v="3302.9933333333333"/>
    <n v="-0.63457389156098809"/>
    <n v="-6287.98"/>
  </r>
  <r>
    <n v="4387490"/>
    <x v="18"/>
    <x v="4"/>
    <x v="0"/>
    <x v="7"/>
    <x v="5"/>
    <x v="2"/>
    <x v="0"/>
    <n v="3173.41"/>
    <n v="115166"/>
    <n v="3297"/>
    <n v="7"/>
    <n v="1"/>
    <n v="5199"/>
    <n v="2.8628240973898548E-2"/>
    <n v="2.1231422505307855E-3"/>
    <s v="Low"/>
    <n v="0.14285714285714285"/>
    <x v="0"/>
    <n v="5199"/>
    <n v="0.96251440703669999"/>
    <n v="453.34428571428572"/>
    <n v="3173.41"/>
    <n v="0.63830075533889419"/>
    <n v="2025.5900000000001"/>
  </r>
  <r>
    <n v="544756"/>
    <x v="18"/>
    <x v="4"/>
    <x v="0"/>
    <x v="8"/>
    <x v="6"/>
    <x v="2"/>
    <x v="0"/>
    <n v="440355"/>
    <n v="1320200"/>
    <n v="13202"/>
    <n v="264"/>
    <n v="45"/>
    <n v="80325"/>
    <n v="0.01"/>
    <n v="1.9996970156036964E-2"/>
    <s v="Low"/>
    <n v="0.17045454545454544"/>
    <x v="1"/>
    <n v="1785"/>
    <n v="33.355173458566881"/>
    <n v="1668.0113636363637"/>
    <n v="9785.6666666666661"/>
    <n v="-0.81759035323772866"/>
    <n v="-360030"/>
  </r>
  <r>
    <n v="374754"/>
    <x v="18"/>
    <x v="4"/>
    <x v="0"/>
    <x v="9"/>
    <x v="4"/>
    <x v="2"/>
    <x v="2"/>
    <n v="404285"/>
    <n v="3299900"/>
    <n v="32999"/>
    <n v="694"/>
    <n v="104"/>
    <n v="519272"/>
    <n v="0.01"/>
    <n v="2.1030940331525198E-2"/>
    <s v="High"/>
    <n v="0.14985590778097982"/>
    <x v="0"/>
    <n v="4993"/>
    <n v="12.251431861571563"/>
    <n v="582.54322766570601"/>
    <n v="3887.3557692307691"/>
    <n v="0.28442064385272764"/>
    <n v="114987"/>
  </r>
  <r>
    <n v="39889"/>
    <x v="18"/>
    <x v="4"/>
    <x v="0"/>
    <x v="10"/>
    <x v="7"/>
    <x v="2"/>
    <x v="3"/>
    <n v="492126"/>
    <n v="19065489"/>
    <n v="46209"/>
    <n v="924"/>
    <n v="139"/>
    <n v="556417"/>
    <n v="2.4236986525758663E-3"/>
    <n v="1.9996104654937352E-2"/>
    <s v="Low"/>
    <n v="0.15043290043290045"/>
    <x v="1"/>
    <n v="4003"/>
    <n v="10.650003246120885"/>
    <n v="532.60389610389609"/>
    <n v="3540.4748201438847"/>
    <n v="0.13063930781954214"/>
    <n v="64291"/>
  </r>
  <r>
    <n v="349043"/>
    <x v="19"/>
    <x v="5"/>
    <x v="1"/>
    <x v="0"/>
    <x v="0"/>
    <x v="0"/>
    <x v="0"/>
    <n v="56874.2"/>
    <n v="9916906"/>
    <n v="28796"/>
    <n v="88"/>
    <n v="12"/>
    <n v="59772"/>
    <n v="2.9037282394327422E-3"/>
    <n v="3.0559799972218363E-3"/>
    <s v="Low"/>
    <n v="0.13636363636363635"/>
    <x v="0"/>
    <n v="4981"/>
    <n v="1.9750729267953882"/>
    <n v="646.29772727272723"/>
    <n v="4739.5166666666664"/>
    <n v="5.0951046344388191E-2"/>
    <n v="2897.8000000000029"/>
  </r>
  <r>
    <n v="348934"/>
    <x v="19"/>
    <x v="5"/>
    <x v="1"/>
    <x v="1"/>
    <x v="1"/>
    <x v="1"/>
    <x v="0"/>
    <n v="455831"/>
    <n v="7918600"/>
    <n v="39593"/>
    <n v="853"/>
    <n v="68"/>
    <n v="387124"/>
    <n v="5.0000000000000001E-3"/>
    <n v="2.1544212360770844E-2"/>
    <s v="High"/>
    <n v="7.9718640093786639E-2"/>
    <x v="0"/>
    <n v="5693"/>
    <n v="11.5129189503195"/>
    <n v="534.38569753810077"/>
    <n v="6703.3970588235297"/>
    <n v="-0.15072910793693275"/>
    <n v="-68707"/>
  </r>
  <r>
    <n v="89459845"/>
    <x v="19"/>
    <x v="5"/>
    <x v="1"/>
    <x v="2"/>
    <x v="2"/>
    <x v="2"/>
    <x v="1"/>
    <n v="190469"/>
    <n v="540450"/>
    <n v="10809"/>
    <n v="359"/>
    <n v="47"/>
    <n v="365378"/>
    <n v="0.02"/>
    <n v="3.3213063188084001E-2"/>
    <s v="High"/>
    <n v="0.1309192200557103"/>
    <x v="0"/>
    <n v="7774"/>
    <n v="17.621334073457305"/>
    <n v="530.55431754874655"/>
    <n v="4052.5319148936169"/>
    <n v="0.91830691608608228"/>
    <n v="174909"/>
  </r>
  <r>
    <n v="127823"/>
    <x v="19"/>
    <x v="5"/>
    <x v="1"/>
    <x v="3"/>
    <x v="3"/>
    <x v="2"/>
    <x v="1"/>
    <n v="435770"/>
    <n v="5762000"/>
    <n v="28810"/>
    <n v="732"/>
    <n v="96"/>
    <n v="253440"/>
    <n v="5.0000000000000001E-3"/>
    <n v="2.5407844498438043E-2"/>
    <s v="High"/>
    <n v="0.13114754098360656"/>
    <x v="0"/>
    <n v="2640"/>
    <n v="15.125650815688997"/>
    <n v="595.31420765027326"/>
    <n v="4539.270833333333"/>
    <n v="-0.41840879362966704"/>
    <n v="-182330"/>
  </r>
  <r>
    <n v="10934"/>
    <x v="19"/>
    <x v="5"/>
    <x v="1"/>
    <x v="4"/>
    <x v="4"/>
    <x v="2"/>
    <x v="2"/>
    <n v="303860"/>
    <n v="5399300"/>
    <n v="53993"/>
    <n v="1094"/>
    <n v="182"/>
    <n v="1452540"/>
    <n v="0.01"/>
    <n v="2.0261885800011113E-2"/>
    <s v="High"/>
    <n v="0.1663619744058501"/>
    <x v="1"/>
    <n v="7980.9890109890111"/>
    <n v="5.6277665623321544"/>
    <n v="277.7513711151737"/>
    <n v="1669.5604395604396"/>
    <n v="3.7802935562430067"/>
    <n v="1148680"/>
  </r>
  <r>
    <n v="9034945"/>
    <x v="19"/>
    <x v="5"/>
    <x v="1"/>
    <x v="5"/>
    <x v="0"/>
    <x v="0"/>
    <x v="0"/>
    <n v="404737"/>
    <n v="7669421"/>
    <n v="32395"/>
    <n v="1003"/>
    <n v="139"/>
    <n v="847066"/>
    <n v="4.2239172944085347E-3"/>
    <n v="3.096156814323198E-2"/>
    <s v="High"/>
    <n v="0.13858424725822532"/>
    <x v="0"/>
    <n v="6094"/>
    <n v="12.49381077326748"/>
    <n v="403.52642073778662"/>
    <n v="2911.776978417266"/>
    <n v="1.0928800677971127"/>
    <n v="442329"/>
  </r>
  <r>
    <n v="983498"/>
    <x v="19"/>
    <x v="5"/>
    <x v="1"/>
    <x v="6"/>
    <x v="1"/>
    <x v="1"/>
    <x v="0"/>
    <n v="150065"/>
    <n v="12239000"/>
    <n v="61195"/>
    <n v="1224"/>
    <n v="48"/>
    <n v="73392"/>
    <n v="5.0000000000000001E-3"/>
    <n v="2.0001634120434677E-2"/>
    <s v="High"/>
    <n v="3.9215686274509803E-2"/>
    <x v="0"/>
    <n v="1529"/>
    <n v="2.4522428302965928"/>
    <n v="122.60212418300654"/>
    <n v="3126.3541666666665"/>
    <n v="-0.51093192949721788"/>
    <n v="-76673"/>
  </r>
  <r>
    <n v="4387490"/>
    <x v="19"/>
    <x v="5"/>
    <x v="1"/>
    <x v="7"/>
    <x v="5"/>
    <x v="2"/>
    <x v="0"/>
    <n v="73587.5"/>
    <n v="111784"/>
    <n v="3594"/>
    <n v="116"/>
    <n v="24"/>
    <n v="119544"/>
    <n v="3.2151291776998499E-2"/>
    <n v="3.2276015581524764E-2"/>
    <s v="High"/>
    <n v="0.20689655172413793"/>
    <x v="1"/>
    <n v="4981"/>
    <n v="20.475097384529771"/>
    <n v="634.375"/>
    <n v="3066.1458333333335"/>
    <n v="0.62451503312383216"/>
    <n v="45956.5"/>
  </r>
  <r>
    <n v="544756"/>
    <x v="19"/>
    <x v="5"/>
    <x v="1"/>
    <x v="8"/>
    <x v="6"/>
    <x v="2"/>
    <x v="0"/>
    <n v="173041"/>
    <n v="1118531"/>
    <n v="14399"/>
    <n v="113"/>
    <n v="18"/>
    <n v="17658"/>
    <n v="1.2873134495154806E-2"/>
    <n v="7.8477672060559764E-3"/>
    <s v="Low"/>
    <n v="0.15929203539823009"/>
    <x v="1"/>
    <n v="981"/>
    <n v="12.017570664629488"/>
    <n v="1531.3362831858408"/>
    <n v="9613.3888888888887"/>
    <n v="-0.89795481995596416"/>
    <n v="-155383"/>
  </r>
  <r>
    <n v="374754"/>
    <x v="19"/>
    <x v="5"/>
    <x v="1"/>
    <x v="9"/>
    <x v="4"/>
    <x v="2"/>
    <x v="2"/>
    <n v="504576"/>
    <n v="5497354"/>
    <n v="35994"/>
    <n v="822"/>
    <n v="137"/>
    <n v="682397"/>
    <n v="6.5475135856268305E-3"/>
    <n v="2.2837139523253877E-2"/>
    <s v="High"/>
    <n v="0.16666666666666666"/>
    <x v="1"/>
    <n v="4981"/>
    <n v="14.018336389398232"/>
    <n v="613.83941605839414"/>
    <n v="3683.0364963503648"/>
    <n v="0.35241668252156266"/>
    <n v="177821"/>
  </r>
  <r>
    <n v="39889"/>
    <x v="19"/>
    <x v="5"/>
    <x v="1"/>
    <x v="10"/>
    <x v="7"/>
    <x v="2"/>
    <x v="3"/>
    <n v="750361"/>
    <n v="26012342"/>
    <n v="50408"/>
    <n v="1678"/>
    <n v="252"/>
    <n v="1003210"/>
    <n v="1.9378493485899886E-3"/>
    <n v="3.3288366925884778E-2"/>
    <s v="High"/>
    <n v="0.1501787842669845"/>
    <x v="1"/>
    <n v="3980.9920634920636"/>
    <n v="14.885752261545786"/>
    <n v="447.17580452920146"/>
    <n v="2977.6230158730159"/>
    <n v="0.33696980520043018"/>
    <n v="252849"/>
  </r>
  <r>
    <n v="349043"/>
    <x v="20"/>
    <x v="6"/>
    <x v="1"/>
    <x v="0"/>
    <x v="0"/>
    <x v="0"/>
    <x v="0"/>
    <n v="38596.699999999997"/>
    <n v="478600"/>
    <n v="2393"/>
    <n v="66"/>
    <n v="7"/>
    <n v="31094"/>
    <n v="5.0000000000000001E-3"/>
    <n v="2.7580442958629336E-2"/>
    <s v="High"/>
    <n v="0.10606060606060606"/>
    <x v="0"/>
    <n v="4442"/>
    <n v="16.129001253656497"/>
    <n v="584.7984848484848"/>
    <n v="5513.8142857142857"/>
    <n v="-0.1943870849062225"/>
    <n v="-7502.6999999999971"/>
  </r>
  <r>
    <n v="348934"/>
    <x v="20"/>
    <x v="6"/>
    <x v="1"/>
    <x v="1"/>
    <x v="1"/>
    <x v="1"/>
    <x v="0"/>
    <n v="39481"/>
    <n v="543787"/>
    <n v="3299"/>
    <n v="113"/>
    <n v="6"/>
    <n v="29538"/>
    <n v="6.0667136213259972E-3"/>
    <n v="3.4252803879963628E-2"/>
    <s v="High"/>
    <n v="5.3097345132743362E-2"/>
    <x v="0"/>
    <n v="4923"/>
    <n v="11.967565929069416"/>
    <n v="349.38938053097343"/>
    <n v="6580.166666666667"/>
    <n v="-0.25184265849395909"/>
    <n v="-9943"/>
  </r>
  <r>
    <n v="89459845"/>
    <x v="20"/>
    <x v="6"/>
    <x v="1"/>
    <x v="2"/>
    <x v="2"/>
    <x v="2"/>
    <x v="1"/>
    <n v="9444.1200000000008"/>
    <n v="49655"/>
    <n v="907"/>
    <n v="18"/>
    <n v="2"/>
    <n v="15962"/>
    <n v="1.8266035645957104E-2"/>
    <n v="1.9845644983461964E-2"/>
    <s v="Low"/>
    <n v="0.1111111111111111"/>
    <x v="0"/>
    <n v="7981"/>
    <n v="10.412480705622933"/>
    <n v="524.6733333333334"/>
    <n v="4722.0600000000004"/>
    <n v="0.69015217934545503"/>
    <n v="6517.8799999999992"/>
  </r>
  <r>
    <n v="127823"/>
    <x v="20"/>
    <x v="6"/>
    <x v="1"/>
    <x v="3"/>
    <x v="3"/>
    <x v="2"/>
    <x v="1"/>
    <n v="17476.2"/>
    <n v="478400"/>
    <n v="2392"/>
    <n v="48"/>
    <n v="5"/>
    <n v="12910"/>
    <n v="5.0000000000000001E-3"/>
    <n v="2.0066889632107024E-2"/>
    <s v="High"/>
    <n v="0.10416666666666667"/>
    <x v="0"/>
    <n v="2582"/>
    <n v="7.306103678929766"/>
    <n v="364.08750000000003"/>
    <n v="3495.2400000000002"/>
    <n v="-0.26128105652258504"/>
    <n v="-4566.2000000000007"/>
  </r>
  <r>
    <n v="10934"/>
    <x v="20"/>
    <x v="6"/>
    <x v="1"/>
    <x v="4"/>
    <x v="4"/>
    <x v="2"/>
    <x v="2"/>
    <n v="30801"/>
    <n v="713896"/>
    <n v="4507"/>
    <n v="90"/>
    <n v="20"/>
    <n v="159620"/>
    <n v="6.3132445062025842E-3"/>
    <n v="1.9968937208786331E-2"/>
    <s v="Low"/>
    <n v="0.22222222222222221"/>
    <x v="1"/>
    <n v="7981"/>
    <n v="6.8340359440869758"/>
    <n v="342.23333333333335"/>
    <n v="1540.05"/>
    <n v="4.1822992759975328"/>
    <n v="128819"/>
  </r>
  <r>
    <n v="9034945"/>
    <x v="20"/>
    <x v="6"/>
    <x v="1"/>
    <x v="5"/>
    <x v="0"/>
    <x v="0"/>
    <x v="0"/>
    <n v="29457.5"/>
    <n v="555915"/>
    <n v="2709"/>
    <n v="60"/>
    <n v="10"/>
    <n v="55540"/>
    <n v="4.8730471385013893E-3"/>
    <n v="2.2148394241417499E-2"/>
    <s v="High"/>
    <n v="0.16666666666666666"/>
    <x v="1"/>
    <n v="5554"/>
    <n v="10.873938722775932"/>
    <n v="490.95833333333331"/>
    <n v="2945.75"/>
    <n v="0.88542815921242468"/>
    <n v="26082.5"/>
  </r>
  <r>
    <n v="983498"/>
    <x v="20"/>
    <x v="6"/>
    <x v="1"/>
    <x v="6"/>
    <x v="1"/>
    <x v="1"/>
    <x v="0"/>
    <n v="12503.5"/>
    <n v="781353"/>
    <n v="5104"/>
    <n v="102"/>
    <n v="4"/>
    <n v="7924"/>
    <n v="6.5322587870015221E-3"/>
    <n v="1.9984326018808778E-2"/>
    <s v="Low"/>
    <n v="3.9215686274509803E-2"/>
    <x v="0"/>
    <n v="1981"/>
    <n v="2.4497452978056424"/>
    <n v="122.58333333333333"/>
    <n v="3125.875"/>
    <n v="-0.36625744791458392"/>
    <n v="-4579.5"/>
  </r>
  <r>
    <n v="4387490"/>
    <x v="20"/>
    <x v="6"/>
    <x v="1"/>
    <x v="7"/>
    <x v="5"/>
    <x v="2"/>
    <x v="0"/>
    <n v="1555.96"/>
    <n v="10812"/>
    <n v="296"/>
    <n v="3"/>
    <n v="1"/>
    <n v="3993"/>
    <n v="2.737698853126156E-2"/>
    <n v="1.0135135135135136E-2"/>
    <s v="Low"/>
    <n v="0.33333333333333331"/>
    <x v="1"/>
    <n v="3993"/>
    <n v="5.2566216216216217"/>
    <n v="518.65333333333331"/>
    <n v="1555.96"/>
    <n v="1.5662613434792667"/>
    <n v="2437.04"/>
  </r>
  <r>
    <n v="544756"/>
    <x v="20"/>
    <x v="6"/>
    <x v="1"/>
    <x v="8"/>
    <x v="6"/>
    <x v="2"/>
    <x v="0"/>
    <n v="32169.9"/>
    <n v="119400"/>
    <n v="1194"/>
    <n v="24"/>
    <n v="4"/>
    <n v="3924"/>
    <n v="0.01"/>
    <n v="2.0100502512562814E-2"/>
    <s v="High"/>
    <n v="0.16666666666666666"/>
    <x v="1"/>
    <n v="981"/>
    <n v="26.942964824120605"/>
    <n v="1340.4125000000001"/>
    <n v="8042.4750000000004"/>
    <n v="-0.87802262363265038"/>
    <n v="-28245.9"/>
  </r>
  <r>
    <n v="374754"/>
    <x v="20"/>
    <x v="6"/>
    <x v="1"/>
    <x v="9"/>
    <x v="4"/>
    <x v="2"/>
    <x v="2"/>
    <n v="65006.3"/>
    <n v="300900"/>
    <n v="3009"/>
    <n v="89"/>
    <n v="17"/>
    <n v="84677"/>
    <n v="0.01"/>
    <n v="2.9577932868062481E-2"/>
    <s v="High"/>
    <n v="0.19101123595505617"/>
    <x v="1"/>
    <n v="4981"/>
    <n v="21.603954802259889"/>
    <n v="730.40786516853939"/>
    <n v="3823.9"/>
    <n v="0.30259682523078524"/>
    <n v="19670.699999999997"/>
  </r>
  <r>
    <n v="39889"/>
    <x v="20"/>
    <x v="6"/>
    <x v="1"/>
    <x v="10"/>
    <x v="7"/>
    <x v="2"/>
    <x v="3"/>
    <n v="25023.200000000001"/>
    <n v="42080000"/>
    <n v="4208"/>
    <n v="67"/>
    <n v="10"/>
    <n v="31710"/>
    <n v="1E-4"/>
    <n v="1.5922053231939164E-2"/>
    <s v="Low"/>
    <n v="0.14925373134328357"/>
    <x v="0"/>
    <n v="3171"/>
    <n v="5.9465779467680608"/>
    <n v="373.48059701492537"/>
    <n v="2502.3200000000002"/>
    <n v="0.26722401611304708"/>
    <n v="6686.7999999999993"/>
  </r>
  <r>
    <n v="349043"/>
    <x v="21"/>
    <x v="0"/>
    <x v="0"/>
    <x v="0"/>
    <x v="0"/>
    <x v="0"/>
    <x v="0"/>
    <n v="59710"/>
    <n v="605386"/>
    <n v="4802"/>
    <n v="96"/>
    <n v="12"/>
    <n v="67632"/>
    <n v="7.9321292530715945E-3"/>
    <n v="1.9991670137442734E-2"/>
    <s v="Low"/>
    <n v="0.125"/>
    <x v="0"/>
    <n v="5636"/>
    <n v="12.434402332361516"/>
    <n v="621.97916666666663"/>
    <n v="4975.833333333333"/>
    <n v="0.13267459387037348"/>
    <n v="7922"/>
  </r>
  <r>
    <n v="348934"/>
    <x v="21"/>
    <x v="0"/>
    <x v="0"/>
    <x v="1"/>
    <x v="1"/>
    <x v="1"/>
    <x v="0"/>
    <n v="95536.2"/>
    <n v="2090371"/>
    <n v="6606"/>
    <n v="132"/>
    <n v="14"/>
    <n v="69734"/>
    <n v="3.1602045761254822E-3"/>
    <n v="1.9981834695731154E-2"/>
    <s v="Low"/>
    <n v="0.10606060606060606"/>
    <x v="0"/>
    <n v="4981"/>
    <n v="14.462034514078111"/>
    <n v="723.7590909090909"/>
    <n v="6824.0142857142855"/>
    <n v="-0.27007772969827143"/>
    <n v="-25802.199999999997"/>
  </r>
  <r>
    <n v="89459845"/>
    <x v="21"/>
    <x v="0"/>
    <x v="0"/>
    <x v="2"/>
    <x v="2"/>
    <x v="2"/>
    <x v="1"/>
    <n v="30645.4"/>
    <n v="90500"/>
    <n v="1810"/>
    <n v="65"/>
    <n v="7"/>
    <n v="59045"/>
    <n v="0.02"/>
    <n v="3.591160220994475E-2"/>
    <s v="High"/>
    <n v="0.1076923076923077"/>
    <x v="0"/>
    <n v="8435"/>
    <n v="16.931160220994474"/>
    <n v="471.46769230769235"/>
    <n v="4377.9142857142861"/>
    <n v="0.92671657083934289"/>
    <n v="28399.599999999999"/>
  </r>
  <r>
    <n v="127823"/>
    <x v="21"/>
    <x v="0"/>
    <x v="0"/>
    <x v="3"/>
    <x v="3"/>
    <x v="2"/>
    <x v="1"/>
    <n v="12348.3"/>
    <n v="959600"/>
    <n v="4798"/>
    <n v="39"/>
    <n v="4"/>
    <n v="11924"/>
    <n v="5.0000000000000001E-3"/>
    <n v="8.1283868278449346E-3"/>
    <s v="Low"/>
    <n v="0.10256410256410256"/>
    <x v="0"/>
    <n v="2981"/>
    <n v="2.5736348478532722"/>
    <n v="316.62307692307689"/>
    <n v="3087.0749999999998"/>
    <n v="-3.4361005158604768E-2"/>
    <n v="-424.29999999999927"/>
  </r>
  <r>
    <n v="10934"/>
    <x v="21"/>
    <x v="0"/>
    <x v="0"/>
    <x v="4"/>
    <x v="4"/>
    <x v="2"/>
    <x v="2"/>
    <n v="77803.8"/>
    <n v="757387"/>
    <n v="8997"/>
    <n v="180"/>
    <n v="42"/>
    <n v="359394"/>
    <n v="1.1878999771583087E-2"/>
    <n v="2.0006668889629875E-2"/>
    <s v="High"/>
    <n v="0.23333333333333334"/>
    <x v="1"/>
    <n v="8557"/>
    <n v="8.6477492497499178"/>
    <n v="432.24333333333334"/>
    <n v="1852.4714285714285"/>
    <n v="3.6192345361023497"/>
    <n v="281590.2"/>
  </r>
  <r>
    <n v="9034945"/>
    <x v="21"/>
    <x v="0"/>
    <x v="0"/>
    <x v="5"/>
    <x v="0"/>
    <x v="0"/>
    <x v="0"/>
    <n v="33474.699999999997"/>
    <n v="4565811"/>
    <n v="5397"/>
    <n v="108"/>
    <n v="9"/>
    <n v="53829"/>
    <n v="1.1820463002082215E-3"/>
    <n v="2.0011117287381877E-2"/>
    <s v="High"/>
    <n v="8.3333333333333329E-2"/>
    <x v="0"/>
    <n v="5981"/>
    <n v="6.2024643320363158"/>
    <n v="309.9509259259259"/>
    <n v="3719.4111111111106"/>
    <n v="0.60805025885220798"/>
    <n v="20354.300000000003"/>
  </r>
  <r>
    <n v="983498"/>
    <x v="21"/>
    <x v="0"/>
    <x v="0"/>
    <x v="6"/>
    <x v="1"/>
    <x v="1"/>
    <x v="0"/>
    <n v="19196.599999999999"/>
    <n v="2190892"/>
    <n v="10202"/>
    <n v="124"/>
    <n v="7"/>
    <n v="14602"/>
    <n v="4.656550847782547E-3"/>
    <n v="1.215447951382082E-2"/>
    <s v="Low"/>
    <n v="5.6451612903225805E-2"/>
    <x v="0"/>
    <n v="2086"/>
    <n v="1.8816506567339737"/>
    <n v="154.81129032258065"/>
    <n v="2742.3714285714282"/>
    <n v="-0.23934446724940869"/>
    <n v="-4594.5999999999985"/>
  </r>
  <r>
    <n v="4387490"/>
    <x v="21"/>
    <x v="0"/>
    <x v="0"/>
    <x v="7"/>
    <x v="5"/>
    <x v="2"/>
    <x v="0"/>
    <n v="5792.48"/>
    <n v="17821"/>
    <n v="598"/>
    <n v="12"/>
    <n v="3"/>
    <n v="12168"/>
    <n v="3.3555917176364962E-2"/>
    <n v="2.0066889632107024E-2"/>
    <s v="High"/>
    <n v="0.25"/>
    <x v="1"/>
    <n v="4056"/>
    <n v="9.6864214046822728"/>
    <n v="482.70666666666665"/>
    <n v="1930.8266666666666"/>
    <n v="1.1006546418805072"/>
    <n v="6375.52"/>
  </r>
  <r>
    <n v="544756"/>
    <x v="21"/>
    <x v="0"/>
    <x v="0"/>
    <x v="8"/>
    <x v="6"/>
    <x v="2"/>
    <x v="0"/>
    <n v="51783.3"/>
    <n v="239600"/>
    <n v="2396"/>
    <n v="48"/>
    <n v="6"/>
    <n v="5886"/>
    <n v="0.01"/>
    <n v="2.003338898163606E-2"/>
    <s v="High"/>
    <n v="0.125"/>
    <x v="0"/>
    <n v="981"/>
    <n v="21.612395659432387"/>
    <n v="1078.8187500000001"/>
    <n v="8630.5500000000011"/>
    <n v="-0.88633401115803745"/>
    <n v="-45897.3"/>
  </r>
  <r>
    <n v="374754"/>
    <x v="21"/>
    <x v="0"/>
    <x v="0"/>
    <x v="9"/>
    <x v="4"/>
    <x v="2"/>
    <x v="2"/>
    <n v="137382"/>
    <n v="599700"/>
    <n v="5997"/>
    <n v="236"/>
    <n v="35"/>
    <n v="158340"/>
    <n v="0.01"/>
    <n v="3.9353009838252462E-2"/>
    <s v="High"/>
    <n v="0.14830508474576271"/>
    <x v="0"/>
    <n v="4524"/>
    <n v="22.908454227113555"/>
    <n v="582.12711864406776"/>
    <n v="3925.2"/>
    <n v="0.15255273616630999"/>
    <n v="20958"/>
  </r>
  <r>
    <n v="39889"/>
    <x v="21"/>
    <x v="0"/>
    <x v="0"/>
    <x v="10"/>
    <x v="7"/>
    <x v="2"/>
    <x v="3"/>
    <n v="60021.599999999999"/>
    <n v="105873774"/>
    <n v="8409"/>
    <n v="168"/>
    <n v="20"/>
    <n v="80600"/>
    <n v="7.9424768592833953E-5"/>
    <n v="1.9978594363182306E-2"/>
    <s v="Low"/>
    <n v="0.11904761904761904"/>
    <x v="0"/>
    <n v="4030"/>
    <n v="7.1377809489832318"/>
    <n v="357.27142857142854"/>
    <n v="3001.08"/>
    <n v="0.34284990736668136"/>
    <n v="20578.400000000001"/>
  </r>
  <r>
    <n v="349043"/>
    <x v="22"/>
    <x v="1"/>
    <x v="0"/>
    <x v="0"/>
    <x v="0"/>
    <x v="0"/>
    <x v="0"/>
    <n v="9858.2800000000007"/>
    <n v="924525"/>
    <n v="1203"/>
    <n v="28"/>
    <n v="2"/>
    <n v="9962"/>
    <n v="1.3012087288066846E-3"/>
    <n v="2.3275145469659187E-2"/>
    <s v="High"/>
    <n v="7.1428571428571425E-2"/>
    <x v="0"/>
    <n v="4981"/>
    <n v="8.1947464671654195"/>
    <n v="352.0814285714286"/>
    <n v="4929.1400000000003"/>
    <n v="1.0521105101498368E-2"/>
    <n v="103.71999999999935"/>
  </r>
  <r>
    <n v="348934"/>
    <x v="22"/>
    <x v="1"/>
    <x v="0"/>
    <x v="1"/>
    <x v="1"/>
    <x v="1"/>
    <x v="0"/>
    <n v="19350"/>
    <n v="475992"/>
    <n v="1641"/>
    <n v="37"/>
    <n v="3"/>
    <n v="12225"/>
    <n v="3.4475369333938385E-3"/>
    <n v="2.2547227300426569E-2"/>
    <s v="High"/>
    <n v="8.1081081081081086E-2"/>
    <x v="0"/>
    <n v="4075"/>
    <n v="11.791590493601463"/>
    <n v="522.97297297297303"/>
    <n v="6450"/>
    <n v="-0.36821705426356588"/>
    <n v="-7125"/>
  </r>
  <r>
    <n v="89459845"/>
    <x v="22"/>
    <x v="1"/>
    <x v="0"/>
    <x v="2"/>
    <x v="2"/>
    <x v="2"/>
    <x v="1"/>
    <n v="5409.21"/>
    <n v="22175"/>
    <n v="442"/>
    <n v="9"/>
    <n v="2"/>
    <n v="15050"/>
    <n v="1.9932356257046223E-2"/>
    <n v="2.0361990950226245E-2"/>
    <s v="High"/>
    <n v="0.22222222222222221"/>
    <x v="1"/>
    <n v="7525"/>
    <n v="12.238031674208145"/>
    <n v="601.02333333333331"/>
    <n v="2704.605"/>
    <n v="1.7822916839982179"/>
    <n v="9640.7900000000009"/>
  </r>
  <r>
    <n v="127823"/>
    <x v="22"/>
    <x v="1"/>
    <x v="0"/>
    <x v="3"/>
    <x v="3"/>
    <x v="2"/>
    <x v="1"/>
    <n v="12581.6"/>
    <n v="241000"/>
    <n v="1205"/>
    <n v="24"/>
    <n v="3"/>
    <n v="8943"/>
    <n v="5.0000000000000001E-3"/>
    <n v="1.9917012448132779E-2"/>
    <s v="Low"/>
    <n v="0.125"/>
    <x v="0"/>
    <n v="2981"/>
    <n v="10.441161825726141"/>
    <n v="524.23333333333335"/>
    <n v="4193.8666666666668"/>
    <n v="-0.2892001017358683"/>
    <n v="-3638.6000000000004"/>
  </r>
  <r>
    <n v="10934"/>
    <x v="22"/>
    <x v="1"/>
    <x v="0"/>
    <x v="4"/>
    <x v="4"/>
    <x v="2"/>
    <x v="2"/>
    <n v="16343"/>
    <n v="297609"/>
    <n v="2246"/>
    <n v="45"/>
    <n v="8"/>
    <n v="63848"/>
    <n v="7.5468147804669886E-3"/>
    <n v="2.0035618878005344E-2"/>
    <s v="High"/>
    <n v="0.17777777777777778"/>
    <x v="1"/>
    <n v="7981"/>
    <n v="7.2764915405164734"/>
    <n v="363.17777777777781"/>
    <n v="2042.875"/>
    <n v="2.9067490668787861"/>
    <n v="47505"/>
  </r>
  <r>
    <n v="9034945"/>
    <x v="22"/>
    <x v="1"/>
    <x v="0"/>
    <x v="5"/>
    <x v="0"/>
    <x v="0"/>
    <x v="0"/>
    <n v="557.25"/>
    <n v="536236"/>
    <n v="1349"/>
    <n v="1"/>
    <n v="0"/>
    <n v="0"/>
    <n v="2.5156833931328742E-3"/>
    <n v="7.4128984432913266E-4"/>
    <s v="Low"/>
    <n v="0"/>
    <x v="0"/>
    <n v="0"/>
    <n v="0.41308376575240918"/>
    <n v="557.25"/>
    <n v="0"/>
    <n v="-1"/>
    <n v="-557.25"/>
  </r>
  <r>
    <n v="983498"/>
    <x v="22"/>
    <x v="1"/>
    <x v="0"/>
    <x v="6"/>
    <x v="1"/>
    <x v="1"/>
    <x v="0"/>
    <n v="4285.4399999999996"/>
    <n v="512000"/>
    <n v="2560"/>
    <n v="51"/>
    <n v="2"/>
    <n v="2934"/>
    <n v="5.0000000000000001E-3"/>
    <n v="1.9921874999999999E-2"/>
    <s v="Low"/>
    <n v="3.9215686274509803E-2"/>
    <x v="0"/>
    <n v="1467"/>
    <n v="1.6739999999999999"/>
    <n v="84.028235294117636"/>
    <n v="2142.7199999999998"/>
    <n v="-0.31535618279569888"/>
    <n v="-1351.4399999999996"/>
  </r>
  <r>
    <n v="4387490"/>
    <x v="22"/>
    <x v="1"/>
    <x v="0"/>
    <x v="7"/>
    <x v="5"/>
    <x v="2"/>
    <x v="0"/>
    <n v="1238.0899999999999"/>
    <n v="4908"/>
    <n v="155"/>
    <n v="3"/>
    <n v="1"/>
    <n v="5265"/>
    <n v="3.1581092094539527E-2"/>
    <n v="1.935483870967742E-2"/>
    <s v="Low"/>
    <n v="0.33333333333333331"/>
    <x v="1"/>
    <n v="5265"/>
    <n v="7.9876774193548385"/>
    <n v="412.69666666666666"/>
    <n v="1238.0899999999999"/>
    <n v="3.2525179914222715"/>
    <n v="4026.91"/>
  </r>
  <r>
    <n v="544756"/>
    <x v="22"/>
    <x v="1"/>
    <x v="0"/>
    <x v="8"/>
    <x v="6"/>
    <x v="2"/>
    <x v="0"/>
    <n v="16078.6"/>
    <n v="60800"/>
    <n v="608"/>
    <n v="12"/>
    <n v="2"/>
    <n v="2720"/>
    <n v="0.01"/>
    <n v="1.9736842105263157E-2"/>
    <s v="Low"/>
    <n v="0.16666666666666666"/>
    <x v="1"/>
    <n v="1360"/>
    <n v="26.445065789473684"/>
    <n v="1339.8833333333334"/>
    <n v="8039.3"/>
    <n v="-0.83083104250370055"/>
    <n v="-13358.6"/>
  </r>
  <r>
    <n v="374754"/>
    <x v="22"/>
    <x v="1"/>
    <x v="0"/>
    <x v="9"/>
    <x v="4"/>
    <x v="2"/>
    <x v="2"/>
    <n v="15435"/>
    <n v="117218"/>
    <n v="1500"/>
    <n v="31"/>
    <n v="4"/>
    <n v="17816"/>
    <n v="1.2796669453496903E-2"/>
    <n v="2.0666666666666667E-2"/>
    <s v="High"/>
    <n v="0.12903225806451613"/>
    <x v="0"/>
    <n v="4454"/>
    <n v="10.29"/>
    <n v="497.90322580645159"/>
    <n v="3858.75"/>
    <n v="0.15425979915775834"/>
    <n v="2381"/>
  </r>
  <r>
    <n v="39889"/>
    <x v="22"/>
    <x v="1"/>
    <x v="0"/>
    <x v="10"/>
    <x v="7"/>
    <x v="2"/>
    <x v="3"/>
    <n v="16706.400000000001"/>
    <n v="654544"/>
    <n v="2099"/>
    <n v="42"/>
    <n v="6"/>
    <n v="23886"/>
    <n v="3.2068126818059596E-3"/>
    <n v="2.0009528346831826E-2"/>
    <s v="High"/>
    <n v="0.14285714285714285"/>
    <x v="0"/>
    <n v="3981"/>
    <n v="7.9592186755597911"/>
    <n v="397.7714285714286"/>
    <n v="2784.4"/>
    <n v="0.42975147248958473"/>
    <n v="7179.5999999999985"/>
  </r>
  <r>
    <n v="349043"/>
    <x v="23"/>
    <x v="2"/>
    <x v="0"/>
    <x v="0"/>
    <x v="0"/>
    <x v="0"/>
    <x v="0"/>
    <n v="94564.2"/>
    <n v="479596"/>
    <n v="2408"/>
    <n v="93"/>
    <n v="15"/>
    <n v="81825"/>
    <n v="5.0208925845920318E-3"/>
    <n v="3.8621262458471764E-2"/>
    <s v="High"/>
    <n v="0.16129032258064516"/>
    <x v="1"/>
    <n v="5455"/>
    <n v="39.270847176079734"/>
    <n v="1016.8193548387096"/>
    <n v="6304.28"/>
    <n v="-0.13471482865608758"/>
    <n v="-12739.199999999997"/>
  </r>
  <r>
    <n v="348934"/>
    <x v="23"/>
    <x v="2"/>
    <x v="0"/>
    <x v="1"/>
    <x v="1"/>
    <x v="1"/>
    <x v="0"/>
    <n v="44347.199999999997"/>
    <n v="395127"/>
    <n v="3297"/>
    <n v="66"/>
    <n v="7"/>
    <n v="34867"/>
    <n v="8.3441526395310883E-3"/>
    <n v="2.0018198362147407E-2"/>
    <s v="High"/>
    <n v="0.10606060606060606"/>
    <x v="0"/>
    <n v="4981"/>
    <n v="13.450773430391264"/>
    <n v="671.92727272727268"/>
    <n v="6335.3142857142857"/>
    <n v="-0.21377223364722006"/>
    <n v="-9480.1999999999971"/>
  </r>
  <r>
    <n v="89459845"/>
    <x v="23"/>
    <x v="2"/>
    <x v="0"/>
    <x v="2"/>
    <x v="2"/>
    <x v="2"/>
    <x v="1"/>
    <n v="14306.2"/>
    <n v="45150"/>
    <n v="903"/>
    <n v="18"/>
    <n v="3"/>
    <n v="23943"/>
    <n v="0.02"/>
    <n v="1.9933554817275746E-2"/>
    <s v="Low"/>
    <n v="0.16666666666666666"/>
    <x v="1"/>
    <n v="7981"/>
    <n v="15.842967884828351"/>
    <n v="794.78888888888889"/>
    <n v="4768.7333333333336"/>
    <n v="0.67361004319805395"/>
    <n v="9636.7999999999993"/>
  </r>
  <r>
    <n v="127823"/>
    <x v="23"/>
    <x v="2"/>
    <x v="0"/>
    <x v="3"/>
    <x v="3"/>
    <x v="2"/>
    <x v="1"/>
    <n v="22357.599999999999"/>
    <n v="291441"/>
    <n v="2408"/>
    <n v="52"/>
    <n v="5"/>
    <n v="19060"/>
    <n v="8.262392731290381E-3"/>
    <n v="2.1594684385382059E-2"/>
    <s v="High"/>
    <n v="9.6153846153846159E-2"/>
    <x v="0"/>
    <n v="3812"/>
    <n v="9.2847176079734215"/>
    <n v="429.95384615384614"/>
    <n v="4471.5199999999995"/>
    <n v="-0.14749346978208747"/>
    <n v="-3297.5999999999985"/>
  </r>
  <r>
    <n v="10934"/>
    <x v="23"/>
    <x v="2"/>
    <x v="0"/>
    <x v="4"/>
    <x v="4"/>
    <x v="2"/>
    <x v="2"/>
    <n v="22944.3"/>
    <n v="409320"/>
    <n v="4508"/>
    <n v="65"/>
    <n v="14"/>
    <n v="111734"/>
    <n v="1.1013388058242939E-2"/>
    <n v="1.4418811002661935E-2"/>
    <s v="Low"/>
    <n v="0.2153846153846154"/>
    <x v="1"/>
    <n v="7981"/>
    <n v="5.0896850044365571"/>
    <n v="352.98923076923074"/>
    <n v="1638.8785714285714"/>
    <n v="3.8697933691592246"/>
    <n v="88789.7"/>
  </r>
  <r>
    <n v="9034945"/>
    <x v="23"/>
    <x v="2"/>
    <x v="0"/>
    <x v="5"/>
    <x v="0"/>
    <x v="0"/>
    <x v="0"/>
    <n v="23908.400000000001"/>
    <n v="869482"/>
    <n v="2703"/>
    <n v="42"/>
    <n v="7"/>
    <n v="36456"/>
    <n v="3.1087475071364329E-3"/>
    <n v="1.5538290788013319E-2"/>
    <s v="Low"/>
    <n v="0.16666666666666666"/>
    <x v="1"/>
    <n v="5208"/>
    <n v="8.845135035146134"/>
    <n v="569.24761904761908"/>
    <n v="3415.4857142857145"/>
    <n v="0.52481972863094128"/>
    <n v="12547.599999999999"/>
  </r>
  <r>
    <n v="983498"/>
    <x v="23"/>
    <x v="2"/>
    <x v="0"/>
    <x v="6"/>
    <x v="1"/>
    <x v="1"/>
    <x v="0"/>
    <n v="18675"/>
    <n v="624157"/>
    <n v="5098"/>
    <n v="122"/>
    <n v="6"/>
    <n v="10590"/>
    <n v="8.1678167512340642E-3"/>
    <n v="2.39309533150255E-2"/>
    <s v="High"/>
    <n v="4.9180327868852458E-2"/>
    <x v="0"/>
    <n v="1765"/>
    <n v="3.6632012553942723"/>
    <n v="153.07377049180329"/>
    <n v="3112.5"/>
    <n v="-0.43293172690763054"/>
    <n v="-8085"/>
  </r>
  <r>
    <n v="4387490"/>
    <x v="23"/>
    <x v="2"/>
    <x v="0"/>
    <x v="7"/>
    <x v="5"/>
    <x v="2"/>
    <x v="0"/>
    <n v="2857.1"/>
    <n v="8966"/>
    <n v="297"/>
    <n v="6"/>
    <n v="1"/>
    <n v="4981"/>
    <n v="3.3125139415569931E-2"/>
    <n v="2.0202020202020204E-2"/>
    <s v="High"/>
    <n v="0.16666666666666666"/>
    <x v="1"/>
    <n v="4981"/>
    <n v="9.619865319865319"/>
    <n v="476.18333333333334"/>
    <n v="2857.1"/>
    <n v="0.7433761506422597"/>
    <n v="2123.9"/>
  </r>
  <r>
    <n v="544756"/>
    <x v="23"/>
    <x v="2"/>
    <x v="0"/>
    <x v="8"/>
    <x v="6"/>
    <x v="2"/>
    <x v="0"/>
    <n v="48796.6"/>
    <n v="148794"/>
    <n v="1196"/>
    <n v="38"/>
    <n v="6"/>
    <n v="8178"/>
    <n v="8.0379585198327892E-3"/>
    <n v="3.177257525083612E-2"/>
    <s v="High"/>
    <n v="0.15789473684210525"/>
    <x v="1"/>
    <n v="1363"/>
    <n v="40.799832775919732"/>
    <n v="1284.121052631579"/>
    <n v="8132.7666666666664"/>
    <n v="-0.83240635618055359"/>
    <n v="-40618.6"/>
  </r>
  <r>
    <n v="374754"/>
    <x v="23"/>
    <x v="2"/>
    <x v="0"/>
    <x v="9"/>
    <x v="4"/>
    <x v="2"/>
    <x v="2"/>
    <n v="42311.5"/>
    <n v="355802"/>
    <n v="2990"/>
    <n v="60"/>
    <n v="9"/>
    <n v="44829"/>
    <n v="8.4035502892057939E-3"/>
    <n v="2.0066889632107024E-2"/>
    <s v="High"/>
    <n v="0.15"/>
    <x v="1"/>
    <n v="4981"/>
    <n v="14.151003344481605"/>
    <n v="705.19166666666672"/>
    <n v="4701.2777777777774"/>
    <n v="5.9499190527397987E-2"/>
    <n v="2517.5"/>
  </r>
  <r>
    <n v="39889"/>
    <x v="23"/>
    <x v="2"/>
    <x v="0"/>
    <x v="10"/>
    <x v="7"/>
    <x v="2"/>
    <x v="3"/>
    <n v="34169.9"/>
    <n v="2770687"/>
    <n v="4205"/>
    <n v="84"/>
    <n v="16"/>
    <n v="63696"/>
    <n v="1.5176741364145427E-3"/>
    <n v="1.9976218787158145E-2"/>
    <s v="Low"/>
    <n v="0.19047619047619047"/>
    <x v="1"/>
    <n v="3981"/>
    <n v="8.1260166468489903"/>
    <n v="406.78452380952382"/>
    <n v="2135.6187500000001"/>
    <n v="0.86409676352579312"/>
    <n v="29526.1"/>
  </r>
  <r>
    <n v="349043"/>
    <x v="24"/>
    <x v="3"/>
    <x v="0"/>
    <x v="0"/>
    <x v="0"/>
    <x v="0"/>
    <x v="0"/>
    <n v="11230.2"/>
    <n v="94600"/>
    <n v="473"/>
    <n v="15"/>
    <n v="2"/>
    <n v="10104"/>
    <n v="5.0000000000000001E-3"/>
    <n v="3.1712473572938688E-2"/>
    <s v="High"/>
    <n v="0.13333333333333333"/>
    <x v="0"/>
    <n v="5052"/>
    <n v="23.742494714587739"/>
    <n v="748.68000000000006"/>
    <n v="5615.1"/>
    <n v="-0.10028316503713208"/>
    <n v="-1126.2000000000007"/>
  </r>
  <r>
    <n v="348934"/>
    <x v="24"/>
    <x v="3"/>
    <x v="0"/>
    <x v="1"/>
    <x v="1"/>
    <x v="1"/>
    <x v="0"/>
    <n v="10357"/>
    <n v="131400"/>
    <n v="657"/>
    <n v="13"/>
    <n v="2"/>
    <n v="9962"/>
    <n v="5.0000000000000001E-3"/>
    <n v="1.9786910197869101E-2"/>
    <s v="Low"/>
    <n v="0.15384615384615385"/>
    <x v="1"/>
    <n v="4981"/>
    <n v="15.764079147640791"/>
    <n v="796.69230769230774"/>
    <n v="5178.5"/>
    <n v="-3.8138457082166649E-2"/>
    <n v="-395"/>
  </r>
  <r>
    <n v="89459845"/>
    <x v="24"/>
    <x v="3"/>
    <x v="0"/>
    <x v="2"/>
    <x v="2"/>
    <x v="2"/>
    <x v="1"/>
    <n v="1078.73"/>
    <n v="8750"/>
    <n v="175"/>
    <n v="1"/>
    <n v="0"/>
    <n v="0"/>
    <n v="0.02"/>
    <n v="5.7142857142857143E-3"/>
    <s v="Low"/>
    <n v="0"/>
    <x v="0"/>
    <n v="0"/>
    <n v="6.1641714285714286"/>
    <n v="1078.73"/>
    <n v="0"/>
    <n v="-1"/>
    <n v="-1078.73"/>
  </r>
  <r>
    <n v="127823"/>
    <x v="24"/>
    <x v="3"/>
    <x v="0"/>
    <x v="3"/>
    <x v="3"/>
    <x v="2"/>
    <x v="1"/>
    <n v="9472.2199999999993"/>
    <n v="61867"/>
    <n v="487"/>
    <n v="19"/>
    <n v="2"/>
    <n v="5730"/>
    <n v="7.8717248290688085E-3"/>
    <n v="3.9014373716632446E-2"/>
    <s v="High"/>
    <n v="0.10526315789473684"/>
    <x v="0"/>
    <n v="2865"/>
    <n v="19.450143737166322"/>
    <n v="498.53789473684208"/>
    <n v="4736.1099999999997"/>
    <n v="-0.39507317186467372"/>
    <n v="-3742.2199999999993"/>
  </r>
  <r>
    <n v="10934"/>
    <x v="24"/>
    <x v="3"/>
    <x v="0"/>
    <x v="4"/>
    <x v="4"/>
    <x v="2"/>
    <x v="2"/>
    <n v="9034.91"/>
    <n v="94976"/>
    <n v="904"/>
    <n v="22"/>
    <n v="5"/>
    <n v="38030"/>
    <n v="9.5181940700808619E-3"/>
    <n v="2.4336283185840708E-2"/>
    <s v="High"/>
    <n v="0.22727272727272727"/>
    <x v="1"/>
    <n v="7606"/>
    <n v="9.9943694690265481"/>
    <n v="410.67772727272728"/>
    <n v="1806.982"/>
    <n v="3.2092284261824413"/>
    <n v="28995.09"/>
  </r>
  <r>
    <n v="9034945"/>
    <x v="24"/>
    <x v="3"/>
    <x v="0"/>
    <x v="5"/>
    <x v="0"/>
    <x v="0"/>
    <x v="0"/>
    <n v="2304.0100000000002"/>
    <n v="106000"/>
    <n v="530"/>
    <n v="6"/>
    <n v="1"/>
    <n v="5981"/>
    <n v="5.0000000000000001E-3"/>
    <n v="1.1320754716981131E-2"/>
    <s v="Low"/>
    <n v="0.16666666666666666"/>
    <x v="1"/>
    <n v="5981"/>
    <n v="4.3471886792452832"/>
    <n v="384.00166666666672"/>
    <n v="2304.0100000000002"/>
    <n v="1.5959088719232988"/>
    <n v="3676.99"/>
  </r>
  <r>
    <n v="983498"/>
    <x v="24"/>
    <x v="3"/>
    <x v="0"/>
    <x v="6"/>
    <x v="1"/>
    <x v="1"/>
    <x v="0"/>
    <n v="2059.0300000000002"/>
    <n v="115468"/>
    <n v="1015"/>
    <n v="20"/>
    <n v="1"/>
    <n v="1981"/>
    <n v="8.7903141996050847E-3"/>
    <n v="1.9704433497536946E-2"/>
    <s v="Low"/>
    <n v="0.05"/>
    <x v="0"/>
    <n v="1981"/>
    <n v="2.0286009852216749"/>
    <n v="102.95150000000001"/>
    <n v="2059.0300000000002"/>
    <n v="-3.7896485238194777E-2"/>
    <n v="-78.0300000000002"/>
  </r>
  <r>
    <n v="4387490"/>
    <x v="24"/>
    <x v="3"/>
    <x v="0"/>
    <x v="7"/>
    <x v="5"/>
    <x v="2"/>
    <x v="0"/>
    <n v="1487.47"/>
    <n v="2214"/>
    <n v="66"/>
    <n v="3"/>
    <n v="1"/>
    <n v="4461"/>
    <n v="2.9810298102981029E-2"/>
    <n v="4.5454545454545456E-2"/>
    <s v="High"/>
    <n v="0.33333333333333331"/>
    <x v="1"/>
    <n v="4461"/>
    <n v="22.537424242424244"/>
    <n v="495.82333333333332"/>
    <n v="1487.47"/>
    <n v="1.9990520817226565"/>
    <n v="2973.5299999999997"/>
  </r>
  <r>
    <n v="544756"/>
    <x v="24"/>
    <x v="3"/>
    <x v="0"/>
    <x v="8"/>
    <x v="6"/>
    <x v="2"/>
    <x v="0"/>
    <n v="5871.29"/>
    <n v="25000"/>
    <n v="250"/>
    <n v="5"/>
    <n v="1"/>
    <n v="981"/>
    <n v="0.01"/>
    <n v="0.02"/>
    <s v="High"/>
    <n v="0.2"/>
    <x v="1"/>
    <n v="981"/>
    <n v="23.48516"/>
    <n v="1174.258"/>
    <n v="5871.29"/>
    <n v="-0.83291576467863115"/>
    <n v="-4890.29"/>
  </r>
  <r>
    <n v="374754"/>
    <x v="24"/>
    <x v="3"/>
    <x v="0"/>
    <x v="9"/>
    <x v="4"/>
    <x v="2"/>
    <x v="2"/>
    <n v="6227.53"/>
    <n v="46753"/>
    <n v="591"/>
    <n v="12"/>
    <n v="2"/>
    <n v="10130"/>
    <n v="1.2640900049194704E-2"/>
    <n v="2.030456852791878E-2"/>
    <s v="High"/>
    <n v="0.16666666666666666"/>
    <x v="1"/>
    <n v="5065"/>
    <n v="10.537275803722503"/>
    <n v="518.96083333333331"/>
    <n v="3113.7649999999999"/>
    <n v="0.62664812534022318"/>
    <n v="3902.4700000000003"/>
  </r>
  <r>
    <n v="39889"/>
    <x v="24"/>
    <x v="3"/>
    <x v="0"/>
    <x v="10"/>
    <x v="7"/>
    <x v="2"/>
    <x v="3"/>
    <n v="7583.66"/>
    <n v="2885291"/>
    <n v="848"/>
    <n v="17"/>
    <n v="3"/>
    <n v="11943"/>
    <n v="2.9390449698141365E-4"/>
    <n v="2.0047169811320754E-2"/>
    <s v="High"/>
    <n v="0.17647058823529413"/>
    <x v="1"/>
    <n v="3981"/>
    <n v="8.9429952830188686"/>
    <n v="446.0976470588235"/>
    <n v="2527.8866666666668"/>
    <n v="0.57483325992990197"/>
    <n v="4359.34"/>
  </r>
  <r>
    <n v="349043"/>
    <x v="25"/>
    <x v="4"/>
    <x v="0"/>
    <x v="0"/>
    <x v="0"/>
    <x v="0"/>
    <x v="0"/>
    <n v="19887.7"/>
    <n v="168408"/>
    <n v="1207"/>
    <n v="39"/>
    <n v="4"/>
    <n v="22488"/>
    <n v="7.1671179516412525E-3"/>
    <n v="3.2311516155758079E-2"/>
    <s v="High"/>
    <n v="0.10256410256410256"/>
    <x v="0"/>
    <n v="5622"/>
    <n v="16.476967688483846"/>
    <n v="509.94102564102565"/>
    <n v="4971.9250000000002"/>
    <n v="0.1307491565138251"/>
    <n v="2600.2999999999993"/>
  </r>
  <r>
    <n v="348934"/>
    <x v="25"/>
    <x v="4"/>
    <x v="0"/>
    <x v="1"/>
    <x v="1"/>
    <x v="1"/>
    <x v="0"/>
    <n v="17935.400000000001"/>
    <n v="438858"/>
    <n v="1657"/>
    <n v="33"/>
    <n v="3"/>
    <n v="15345"/>
    <n v="3.7757087714021392E-3"/>
    <n v="1.9915509957754977E-2"/>
    <s v="Low"/>
    <n v="9.0909090909090912E-2"/>
    <x v="0"/>
    <n v="5115"/>
    <n v="10.824019312009657"/>
    <n v="543.4969696969697"/>
    <n v="5978.4666666666672"/>
    <n v="-0.1444294523679428"/>
    <n v="-2590.4000000000015"/>
  </r>
  <r>
    <n v="89459845"/>
    <x v="25"/>
    <x v="4"/>
    <x v="0"/>
    <x v="2"/>
    <x v="2"/>
    <x v="2"/>
    <x v="1"/>
    <n v="1545.74"/>
    <n v="22450"/>
    <n v="449"/>
    <n v="2"/>
    <n v="0"/>
    <n v="0"/>
    <n v="0.02"/>
    <n v="4.4543429844097994E-3"/>
    <s v="Low"/>
    <n v="0"/>
    <x v="0"/>
    <n v="0"/>
    <n v="3.4426280623608019"/>
    <n v="772.87"/>
    <n v="0"/>
    <n v="-1"/>
    <n v="-1545.74"/>
  </r>
  <r>
    <n v="127823"/>
    <x v="25"/>
    <x v="4"/>
    <x v="0"/>
    <x v="3"/>
    <x v="3"/>
    <x v="2"/>
    <x v="1"/>
    <n v="4453.1000000000004"/>
    <n v="240600"/>
    <n v="1203"/>
    <n v="11"/>
    <n v="1"/>
    <n v="2283"/>
    <n v="5.0000000000000001E-3"/>
    <n v="9.14380714879468E-3"/>
    <s v="Low"/>
    <n v="9.0909090909090912E-2"/>
    <x v="0"/>
    <n v="2283"/>
    <n v="3.7016625103906904"/>
    <n v="404.82727272727277"/>
    <n v="4453.1000000000004"/>
    <n v="-0.48732343760526381"/>
    <n v="-2170.1000000000004"/>
  </r>
  <r>
    <n v="10934"/>
    <x v="25"/>
    <x v="4"/>
    <x v="0"/>
    <x v="4"/>
    <x v="4"/>
    <x v="2"/>
    <x v="2"/>
    <n v="38804.199999999997"/>
    <n v="195016"/>
    <n v="2247"/>
    <n v="82"/>
    <n v="16"/>
    <n v="127696"/>
    <n v="1.1522131517413955E-2"/>
    <n v="3.6493101913662659E-2"/>
    <s v="High"/>
    <n v="0.1951219512195122"/>
    <x v="1"/>
    <n v="7981"/>
    <n v="17.269336893635959"/>
    <n v="473.22195121951216"/>
    <n v="2425.2624999999998"/>
    <n v="2.2907778024028329"/>
    <n v="88891.8"/>
  </r>
  <r>
    <n v="9034945"/>
    <x v="25"/>
    <x v="4"/>
    <x v="0"/>
    <x v="5"/>
    <x v="0"/>
    <x v="0"/>
    <x v="0"/>
    <n v="12592.4"/>
    <n v="174375"/>
    <n v="1342"/>
    <n v="27"/>
    <n v="4"/>
    <n v="26556"/>
    <n v="7.6960573476702512E-3"/>
    <n v="2.0119225037257823E-2"/>
    <s v="High"/>
    <n v="0.14814814814814814"/>
    <x v="0"/>
    <n v="6639"/>
    <n v="9.3833084947839041"/>
    <n v="466.38518518518515"/>
    <n v="3148.1"/>
    <n v="1.1088910771576508"/>
    <n v="13963.6"/>
  </r>
  <r>
    <n v="983498"/>
    <x v="25"/>
    <x v="4"/>
    <x v="0"/>
    <x v="6"/>
    <x v="1"/>
    <x v="1"/>
    <x v="0"/>
    <n v="2403.54"/>
    <n v="508600"/>
    <n v="2543"/>
    <n v="73"/>
    <n v="1"/>
    <n v="1981"/>
    <n v="5.0000000000000001E-3"/>
    <n v="2.8706252457727094E-2"/>
    <s v="High"/>
    <n v="1.3698630136986301E-2"/>
    <x v="0"/>
    <n v="1981"/>
    <n v="0.94515926071569012"/>
    <n v="32.925205479452053"/>
    <n v="2403.54"/>
    <n v="-0.17579902976443079"/>
    <n v="-422.53999999999996"/>
  </r>
  <r>
    <n v="4387490"/>
    <x v="25"/>
    <x v="4"/>
    <x v="0"/>
    <x v="7"/>
    <x v="5"/>
    <x v="2"/>
    <x v="0"/>
    <n v="1071.1600000000001"/>
    <n v="4906"/>
    <n v="143"/>
    <n v="3"/>
    <n v="1"/>
    <n v="4981"/>
    <n v="2.914798206278027E-2"/>
    <n v="2.097902097902098E-2"/>
    <s v="High"/>
    <n v="0.33333333333333331"/>
    <x v="1"/>
    <n v="4981"/>
    <n v="7.490629370629371"/>
    <n v="357.05333333333334"/>
    <n v="1071.1600000000001"/>
    <n v="3.6500989581388401"/>
    <n v="3909.84"/>
  </r>
  <r>
    <n v="544756"/>
    <x v="25"/>
    <x v="4"/>
    <x v="0"/>
    <x v="8"/>
    <x v="6"/>
    <x v="2"/>
    <x v="0"/>
    <n v="315.92"/>
    <n v="55269"/>
    <n v="610"/>
    <n v="0"/>
    <n v="0"/>
    <n v="0"/>
    <n v="1.1036928477084804E-2"/>
    <n v="0"/>
    <s v="Low"/>
    <n v="0"/>
    <x v="0"/>
    <n v="0"/>
    <n v="0.51790163934426237"/>
    <n v="0"/>
    <n v="0"/>
    <n v="-1"/>
    <n v="-315.92"/>
  </r>
  <r>
    <n v="374754"/>
    <x v="25"/>
    <x v="4"/>
    <x v="0"/>
    <x v="9"/>
    <x v="4"/>
    <x v="2"/>
    <x v="2"/>
    <n v="15596"/>
    <n v="192489"/>
    <n v="1497"/>
    <n v="34"/>
    <n v="5"/>
    <n v="25205"/>
    <n v="7.777067780496548E-3"/>
    <n v="2.2712090848363394E-2"/>
    <s v="High"/>
    <n v="0.14705882352941177"/>
    <x v="0"/>
    <n v="5041"/>
    <n v="10.41816967267869"/>
    <n v="458.70588235294116"/>
    <n v="3119.2"/>
    <n v="0.61611951782508334"/>
    <n v="9609"/>
  </r>
  <r>
    <n v="39889"/>
    <x v="25"/>
    <x v="4"/>
    <x v="0"/>
    <x v="10"/>
    <x v="7"/>
    <x v="2"/>
    <x v="3"/>
    <n v="8087.73"/>
    <n v="20930000"/>
    <n v="2093"/>
    <n v="22"/>
    <n v="3"/>
    <n v="12213"/>
    <n v="1E-4"/>
    <n v="1.051122790253225E-2"/>
    <s v="Low"/>
    <n v="0.13636363636363635"/>
    <x v="0"/>
    <n v="4071"/>
    <n v="3.8641806020066887"/>
    <n v="367.62409090909091"/>
    <n v="2695.91"/>
    <n v="0.51006524698524813"/>
    <n v="4125.2700000000004"/>
  </r>
  <r>
    <n v="349043"/>
    <x v="26"/>
    <x v="5"/>
    <x v="1"/>
    <x v="0"/>
    <x v="0"/>
    <x v="0"/>
    <x v="0"/>
    <n v="5003.33"/>
    <n v="213771"/>
    <n v="241"/>
    <n v="9"/>
    <n v="1"/>
    <n v="4223"/>
    <n v="1.1273746205051199E-3"/>
    <n v="3.7344398340248962E-2"/>
    <s v="High"/>
    <n v="0.1111111111111111"/>
    <x v="0"/>
    <n v="4223"/>
    <n v="20.760705394190872"/>
    <n v="555.92555555555555"/>
    <n v="5003.33"/>
    <n v="-0.15596212922193817"/>
    <n v="-780.32999999999993"/>
  </r>
  <r>
    <n v="348934"/>
    <x v="26"/>
    <x v="5"/>
    <x v="1"/>
    <x v="1"/>
    <x v="1"/>
    <x v="1"/>
    <x v="0"/>
    <n v="3235.77"/>
    <n v="66400"/>
    <n v="332"/>
    <n v="13"/>
    <n v="0"/>
    <n v="0"/>
    <n v="5.0000000000000001E-3"/>
    <n v="3.9156626506024098E-2"/>
    <s v="High"/>
    <n v="0"/>
    <x v="0"/>
    <n v="0"/>
    <n v="9.7462951807228908"/>
    <n v="248.90538461538461"/>
    <n v="0"/>
    <n v="-1"/>
    <n v="-3235.77"/>
  </r>
  <r>
    <n v="89459845"/>
    <x v="26"/>
    <x v="5"/>
    <x v="1"/>
    <x v="2"/>
    <x v="2"/>
    <x v="2"/>
    <x v="1"/>
    <n v="1754.25"/>
    <n v="4662"/>
    <n v="83"/>
    <n v="2"/>
    <n v="0"/>
    <n v="0"/>
    <n v="1.7803517803517802E-2"/>
    <n v="2.4096385542168676E-2"/>
    <s v="High"/>
    <n v="0"/>
    <x v="0"/>
    <n v="0"/>
    <n v="21.1355421686747"/>
    <n v="877.125"/>
    <n v="0"/>
    <n v="-1"/>
    <n v="-1754.25"/>
  </r>
  <r>
    <n v="127823"/>
    <x v="26"/>
    <x v="5"/>
    <x v="1"/>
    <x v="3"/>
    <x v="3"/>
    <x v="2"/>
    <x v="1"/>
    <n v="1487.24"/>
    <n v="40004"/>
    <n v="243"/>
    <n v="5"/>
    <n v="0"/>
    <n v="0"/>
    <n v="6.0743925607439258E-3"/>
    <n v="2.0576131687242798E-2"/>
    <s v="High"/>
    <n v="0"/>
    <x v="0"/>
    <n v="0"/>
    <n v="6.1203292181069955"/>
    <n v="297.44799999999998"/>
    <n v="0"/>
    <n v="-1"/>
    <n v="-1487.24"/>
  </r>
  <r>
    <n v="10934"/>
    <x v="26"/>
    <x v="5"/>
    <x v="1"/>
    <x v="4"/>
    <x v="4"/>
    <x v="2"/>
    <x v="2"/>
    <n v="5721.83"/>
    <n v="44000"/>
    <n v="440"/>
    <n v="15"/>
    <n v="3"/>
    <n v="23943"/>
    <n v="0.01"/>
    <n v="3.4090909090909088E-2"/>
    <s v="High"/>
    <n v="0.2"/>
    <x v="1"/>
    <n v="7981"/>
    <n v="13.004159090909091"/>
    <n v="381.45533333333333"/>
    <n v="1907.2766666666666"/>
    <n v="3.1845004133293018"/>
    <n v="18221.169999999998"/>
  </r>
  <r>
    <n v="9034945"/>
    <x v="26"/>
    <x v="5"/>
    <x v="1"/>
    <x v="5"/>
    <x v="0"/>
    <x v="0"/>
    <x v="0"/>
    <n v="1832.16"/>
    <n v="44112"/>
    <n v="275"/>
    <n v="6"/>
    <n v="1"/>
    <n v="5981"/>
    <n v="6.234131302140007E-3"/>
    <n v="2.181818181818182E-2"/>
    <s v="High"/>
    <n v="0.16666666666666666"/>
    <x v="1"/>
    <n v="5981"/>
    <n v="6.6623999999999999"/>
    <n v="305.36"/>
    <n v="1832.16"/>
    <n v="2.2644528862108113"/>
    <n v="4148.84"/>
  </r>
  <r>
    <n v="983498"/>
    <x v="26"/>
    <x v="5"/>
    <x v="1"/>
    <x v="6"/>
    <x v="1"/>
    <x v="1"/>
    <x v="0"/>
    <n v="254.14"/>
    <n v="78799"/>
    <n v="503"/>
    <n v="3"/>
    <n v="0"/>
    <n v="0"/>
    <n v="6.3833297376870261E-3"/>
    <n v="5.9642147117296221E-3"/>
    <s v="Low"/>
    <n v="0"/>
    <x v="0"/>
    <n v="0"/>
    <n v="0.50524850894632201"/>
    <n v="84.713333333333324"/>
    <n v="0"/>
    <n v="-1"/>
    <n v="-254.14"/>
  </r>
  <r>
    <n v="4387490"/>
    <x v="26"/>
    <x v="5"/>
    <x v="1"/>
    <x v="7"/>
    <x v="5"/>
    <x v="2"/>
    <x v="0"/>
    <n v="200.42"/>
    <n v="667"/>
    <n v="20"/>
    <n v="0"/>
    <n v="0"/>
    <n v="0"/>
    <n v="2.9985007496251874E-2"/>
    <n v="0"/>
    <s v="Low"/>
    <n v="0"/>
    <x v="0"/>
    <n v="0"/>
    <n v="10.020999999999999"/>
    <n v="0"/>
    <n v="0"/>
    <n v="-1"/>
    <n v="-200.42"/>
  </r>
  <r>
    <n v="544756"/>
    <x v="26"/>
    <x v="5"/>
    <x v="1"/>
    <x v="8"/>
    <x v="6"/>
    <x v="2"/>
    <x v="0"/>
    <n v="3098.45"/>
    <n v="13693"/>
    <n v="115"/>
    <n v="2"/>
    <n v="0"/>
    <n v="0"/>
    <n v="8.3984517636748711E-3"/>
    <n v="1.7391304347826087E-2"/>
    <s v="Low"/>
    <n v="0"/>
    <x v="0"/>
    <n v="0"/>
    <n v="26.943043478260869"/>
    <n v="1549.2249999999999"/>
    <n v="0"/>
    <n v="-1"/>
    <n v="-3098.45"/>
  </r>
  <r>
    <n v="374754"/>
    <x v="26"/>
    <x v="5"/>
    <x v="1"/>
    <x v="9"/>
    <x v="4"/>
    <x v="2"/>
    <x v="2"/>
    <n v="3524.08"/>
    <n v="24018"/>
    <n v="298"/>
    <n v="6"/>
    <n v="1"/>
    <n v="4661"/>
    <n v="1.2407361145807311E-2"/>
    <n v="2.0134228187919462E-2"/>
    <s v="High"/>
    <n v="0.16666666666666666"/>
    <x v="1"/>
    <n v="4661"/>
    <n v="11.825771812080538"/>
    <n v="587.34666666666669"/>
    <n v="3524.08"/>
    <n v="0.32261469660166625"/>
    <n v="1136.92"/>
  </r>
  <r>
    <n v="39889"/>
    <x v="26"/>
    <x v="5"/>
    <x v="1"/>
    <x v="10"/>
    <x v="7"/>
    <x v="2"/>
    <x v="3"/>
    <n v="2791.06"/>
    <n v="182546"/>
    <n v="426"/>
    <n v="9"/>
    <n v="1"/>
    <n v="3981"/>
    <n v="2.3336583655626528E-3"/>
    <n v="2.1126760563380281E-2"/>
    <s v="High"/>
    <n v="0.1111111111111111"/>
    <x v="0"/>
    <n v="3981"/>
    <n v="6.5517840375586855"/>
    <n v="310.11777777777775"/>
    <n v="2791.06"/>
    <n v="0.42633981354754108"/>
    <n v="1189.94"/>
  </r>
  <r>
    <n v="349043"/>
    <x v="27"/>
    <x v="6"/>
    <x v="1"/>
    <x v="0"/>
    <x v="0"/>
    <x v="0"/>
    <x v="0"/>
    <n v="6440.5"/>
    <n v="97200"/>
    <n v="486"/>
    <n v="11"/>
    <n v="1"/>
    <n v="4981"/>
    <n v="5.0000000000000001E-3"/>
    <n v="2.2633744855967079E-2"/>
    <s v="High"/>
    <n v="9.0909090909090912E-2"/>
    <x v="0"/>
    <n v="4981"/>
    <n v="13.252057613168724"/>
    <n v="585.5"/>
    <n v="6440.5"/>
    <n v="-0.22661284061796444"/>
    <n v="-1459.5"/>
  </r>
  <r>
    <n v="348934"/>
    <x v="27"/>
    <x v="6"/>
    <x v="1"/>
    <x v="1"/>
    <x v="1"/>
    <x v="1"/>
    <x v="0"/>
    <n v="8665.5499999999993"/>
    <n v="132200"/>
    <n v="661"/>
    <n v="13"/>
    <n v="1"/>
    <n v="5509"/>
    <n v="5.0000000000000001E-3"/>
    <n v="1.9667170953101363E-2"/>
    <s v="Low"/>
    <n v="7.6923076923076927E-2"/>
    <x v="0"/>
    <n v="5509"/>
    <n v="13.109757942511346"/>
    <n v="666.58076923076919"/>
    <n v="8665.5499999999993"/>
    <n v="-0.36426424173883937"/>
    <n v="-3156.5499999999993"/>
  </r>
  <r>
    <n v="89459845"/>
    <x v="27"/>
    <x v="6"/>
    <x v="1"/>
    <x v="2"/>
    <x v="2"/>
    <x v="2"/>
    <x v="1"/>
    <n v="3529.73"/>
    <n v="11554"/>
    <n v="187"/>
    <n v="5"/>
    <n v="1"/>
    <n v="8714"/>
    <n v="1.6184871040332352E-2"/>
    <n v="2.6737967914438502E-2"/>
    <s v="High"/>
    <n v="0.2"/>
    <x v="1"/>
    <n v="8714"/>
    <n v="18.875561497326203"/>
    <n v="705.94600000000003"/>
    <n v="3529.73"/>
    <n v="1.4687440682431803"/>
    <n v="5184.2700000000004"/>
  </r>
  <r>
    <n v="127823"/>
    <x v="27"/>
    <x v="6"/>
    <x v="1"/>
    <x v="3"/>
    <x v="3"/>
    <x v="2"/>
    <x v="1"/>
    <n v="384.75"/>
    <n v="55625"/>
    <n v="487"/>
    <n v="1"/>
    <n v="0"/>
    <n v="0"/>
    <n v="8.7550561797752804E-3"/>
    <n v="2.0533880903490761E-3"/>
    <s v="Low"/>
    <n v="0"/>
    <x v="0"/>
    <n v="0"/>
    <n v="0.79004106776180694"/>
    <n v="384.75"/>
    <n v="0"/>
    <n v="-1"/>
    <n v="-384.75"/>
  </r>
  <r>
    <n v="10934"/>
    <x v="27"/>
    <x v="6"/>
    <x v="1"/>
    <x v="4"/>
    <x v="4"/>
    <x v="2"/>
    <x v="2"/>
    <n v="9892.77"/>
    <n v="129025"/>
    <n v="909"/>
    <n v="21"/>
    <n v="5"/>
    <n v="37450"/>
    <n v="7.0451462894787834E-3"/>
    <n v="2.3102310231023101E-2"/>
    <s v="High"/>
    <n v="0.23809523809523808"/>
    <x v="1"/>
    <n v="7490"/>
    <n v="10.883135313531353"/>
    <n v="471.08428571428573"/>
    <n v="1978.5540000000001"/>
    <n v="2.7855929128039971"/>
    <n v="27557.23"/>
  </r>
  <r>
    <n v="9034945"/>
    <x v="27"/>
    <x v="6"/>
    <x v="1"/>
    <x v="5"/>
    <x v="0"/>
    <x v="0"/>
    <x v="0"/>
    <n v="4950.74"/>
    <n v="63566"/>
    <n v="546"/>
    <n v="12"/>
    <n v="1"/>
    <n v="5981"/>
    <n v="8.5894975301261684E-3"/>
    <n v="2.197802197802198E-2"/>
    <s v="High"/>
    <n v="8.3333333333333329E-2"/>
    <x v="0"/>
    <n v="5981"/>
    <n v="9.0672893772893772"/>
    <n v="412.56166666666667"/>
    <n v="4950.74"/>
    <n v="0.20810222310200097"/>
    <n v="1030.2600000000002"/>
  </r>
  <r>
    <n v="983498"/>
    <x v="27"/>
    <x v="6"/>
    <x v="1"/>
    <x v="6"/>
    <x v="1"/>
    <x v="1"/>
    <x v="0"/>
    <n v="760.75"/>
    <n v="775780"/>
    <n v="1024"/>
    <n v="4"/>
    <n v="0"/>
    <n v="0"/>
    <n v="1.3199618448529221E-3"/>
    <n v="3.90625E-3"/>
    <s v="Low"/>
    <n v="0"/>
    <x v="0"/>
    <n v="0"/>
    <n v="0.742919921875"/>
    <n v="190.1875"/>
    <n v="0"/>
    <n v="-1"/>
    <n v="-760.75"/>
  </r>
  <r>
    <n v="4387490"/>
    <x v="27"/>
    <x v="6"/>
    <x v="1"/>
    <x v="7"/>
    <x v="5"/>
    <x v="2"/>
    <x v="0"/>
    <n v="224.81"/>
    <n v="1933"/>
    <n v="58"/>
    <n v="0"/>
    <n v="0"/>
    <n v="0"/>
    <n v="3.0005173305742368E-2"/>
    <n v="0"/>
    <s v="Low"/>
    <n v="0"/>
    <x v="0"/>
    <n v="0"/>
    <n v="3.8760344827586208"/>
    <n v="0"/>
    <n v="0"/>
    <n v="-1"/>
    <n v="-224.81"/>
  </r>
  <r>
    <n v="544756"/>
    <x v="27"/>
    <x v="6"/>
    <x v="1"/>
    <x v="8"/>
    <x v="6"/>
    <x v="2"/>
    <x v="0"/>
    <n v="6844.8"/>
    <n v="25840"/>
    <n v="248"/>
    <n v="5"/>
    <n v="1"/>
    <n v="1491"/>
    <n v="9.5975232198142416E-3"/>
    <n v="2.0161290322580645E-2"/>
    <s v="High"/>
    <n v="0.2"/>
    <x v="1"/>
    <n v="1491"/>
    <n v="27.6"/>
    <n v="1368.96"/>
    <n v="6844.8"/>
    <n v="-0.7821704067321178"/>
    <n v="-5353.8"/>
  </r>
  <r>
    <n v="374754"/>
    <x v="27"/>
    <x v="6"/>
    <x v="1"/>
    <x v="9"/>
    <x v="4"/>
    <x v="2"/>
    <x v="2"/>
    <n v="4845.6499999999996"/>
    <n v="94058"/>
    <n v="594"/>
    <n v="12"/>
    <n v="1"/>
    <n v="5008"/>
    <n v="6.3152522911395096E-3"/>
    <n v="2.0202020202020204E-2"/>
    <s v="High"/>
    <n v="8.3333333333333329E-2"/>
    <x v="0"/>
    <n v="5008"/>
    <n v="8.1576599326599322"/>
    <n v="403.80416666666662"/>
    <n v="4845.6499999999996"/>
    <n v="3.3504277031977212E-2"/>
    <n v="162.35000000000036"/>
  </r>
  <r>
    <n v="39889"/>
    <x v="27"/>
    <x v="6"/>
    <x v="1"/>
    <x v="10"/>
    <x v="7"/>
    <x v="2"/>
    <x v="3"/>
    <n v="6822.62"/>
    <n v="8490000"/>
    <n v="849"/>
    <n v="18"/>
    <n v="2"/>
    <n v="7030"/>
    <n v="1E-4"/>
    <n v="2.1201413427561839E-2"/>
    <s v="High"/>
    <n v="0.1111111111111111"/>
    <x v="0"/>
    <n v="3515"/>
    <n v="8.0360659599528859"/>
    <n v="379.03444444444443"/>
    <n v="3411.31"/>
    <n v="3.039594759784366E-2"/>
    <n v="207.38000000000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A0385-AF02-4D3B-AE9F-FF51F8172BFB}" name="PivotTable24"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L6:L7" firstHeaderRow="1"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Revenue" fld="13" baseField="0" baseItem="0" numFmtId="164"/>
  </dataFields>
  <formats count="1">
    <format dxfId="2">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D9A15-FFF8-4C60-9042-486CAADA4A9A}" name="PivotTable23"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K6:K7" firstHeaderRow="1"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Sum of Conversion Rate 2" fld="33" baseField="0" baseItem="0" numFmtId="3"/>
  </dataFields>
  <formats count="1">
    <format dxfId="5">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301EA2-42EE-4C8F-8770-6509BE362D3D}" name="PivotTable2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J6:J7" firstHeaderRow="1"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Conversion Rate 1" fld="30" baseField="0" baseItem="0" numFmtId="3"/>
  </dataFields>
  <formats count="1">
    <format dxfId="8">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869AA-7FBF-47C3-B863-8D46BF40E836}" name="PivotTable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I6:I7" firstHeaderRow="1"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Gross Profit and Loss" fld="31" baseField="0" baseItem="0" numFmtId="168"/>
  </dataFields>
  <formats count="1">
    <format dxfId="10">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6024C9-C1E3-4585-B4B9-BDA3EDDE21F7}" name="PivotTable1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08:M112"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axis="axisRow" showAll="0">
      <items count="4">
        <item x="2"/>
        <item x="0"/>
        <item x="1"/>
        <item t="default"/>
      </items>
    </pivotField>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Customer Acquisition Cost" fld="29" baseField="0" baseItem="0"/>
  </dataFields>
  <formats count="1">
    <format dxfId="16">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EC99D-6C1C-4B45-B25D-1E2CF15CFC58}"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15:M19"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axis="axisRow" showAll="0">
      <items count="4">
        <item x="2"/>
        <item x="0"/>
        <item x="1"/>
        <item t="default"/>
      </items>
    </pivotField>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Return on MI" fld="32" baseField="0" baseItem="0"/>
  </dataFields>
  <formats count="1">
    <format dxfId="17">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605686-9F9A-418F-8C45-3D6467917703}" name="PivotTable1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08:I112"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axis="axisRow" showAll="0">
      <items count="4">
        <item x="2"/>
        <item x="0"/>
        <item x="1"/>
        <item t="default"/>
      </items>
    </pivotField>
    <pivotField showAll="0"/>
    <pivotField numFmtId="165" showAll="0"/>
    <pivotField numFmtId="3" showAll="0"/>
    <pivotField numFmtId="3" showAll="0"/>
    <pivotField numFmtId="3" showAll="0"/>
    <pivotField dataField="1"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Orders" fld="12" baseField="0" baseItem="0" numFmtId="3"/>
  </dataFields>
  <formats count="1">
    <format dxfId="18">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D86BB-73DF-44FD-8312-66FD09DBB523}"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15:I2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axis="axisRow" showAll="0">
      <items count="5">
        <item x="2"/>
        <item x="3"/>
        <item x="1"/>
        <item x="0"/>
        <item t="default"/>
      </items>
    </pivotField>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7"/>
  </rowFields>
  <rowItems count="5">
    <i>
      <x/>
    </i>
    <i>
      <x v="1"/>
    </i>
    <i>
      <x v="2"/>
    </i>
    <i>
      <x v="3"/>
    </i>
    <i t="grand">
      <x/>
    </i>
  </rowItems>
  <colItems count="1">
    <i/>
  </colItems>
  <dataFields count="1">
    <dataField name="Sum of Return on MI" fld="32" baseField="0" baseItem="0"/>
  </dataFields>
  <formats count="1">
    <format dxfId="19">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DEEF1-AAC0-40E5-AE74-6546912F66FE}"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35:E64" firstHeaderRow="1" firstDataRow="1" firstDataCol="1"/>
  <pivotFields count="34">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dataField="1"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Market_Budget" fld="8"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86CCAD-ACE6-493D-A8B7-DF46495A2E17}" name="PivotTable1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88:I10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dataField="1"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Orders" fld="12" baseField="0" baseItem="0" numFmtId="3"/>
  </dataFields>
  <formats count="1">
    <format dxfId="20">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D2B258-53A7-4949-8851-28532D2AFE77}"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5:E27"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Return on MI" fld="32" baseField="0" baseItem="0"/>
  </dataFields>
  <formats count="1">
    <format dxfId="21">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667D86-6A4C-4667-BDB4-EE9E37AAA7D1}"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L35:M64" firstHeaderRow="1" firstDataRow="1" firstDataCol="1"/>
  <pivotFields count="34">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Average Order Value" fld="26" baseField="0" baseItem="0"/>
  </dataFields>
  <formats count="1">
    <format dxfId="2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777500-7EB6-4F60-B529-785519DFEF0C}" name="PivotTable5"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6:H7" firstHeaderRow="1"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Return on MI" fld="32" baseField="0" baseItem="0" numFmtId="10"/>
  </dataFields>
  <formats count="1">
    <format dxfId="23">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534BED-5243-4FF2-B25A-1F899CCADDFE}" name="PivotTable1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L88:M10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Customer Acquisition Cost" fld="29" baseField="0" baseItem="0"/>
  </dataFields>
  <formats count="1">
    <format dxfId="24">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0D0D86-2C78-4E3E-8237-7E71709AEEFB}" name="PivotTable2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P88:Q10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9">
        <item x="4"/>
        <item x="2"/>
        <item x="6"/>
        <item x="7"/>
        <item x="5"/>
        <item x="0"/>
        <item x="1"/>
        <item x="3"/>
        <item t="default"/>
      </items>
    </pivotField>
    <pivotField showAll="0"/>
    <pivotField showAll="0"/>
    <pivotField dataField="1"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Market_Budget" fld="8" baseField="0" baseItem="0" numFmtId="165"/>
  </dataFields>
  <formats count="1">
    <format dxfId="2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15CD47-8BE9-43A4-814F-736E2DBC8D5D}" name="PivotTable1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D120:E125"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axis="axisRow" showAll="0">
      <items count="5">
        <item x="2"/>
        <item x="3"/>
        <item x="1"/>
        <item x="0"/>
        <item t="default"/>
      </items>
    </pivotField>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Items count="1">
    <i/>
  </colItems>
  <dataFields count="1">
    <dataField name="Sum of Revenue" fld="13" baseField="0" baseItem="0" numFmtId="164"/>
  </dataFields>
  <formats count="2">
    <format dxfId="27">
      <pivotArea dataOnly="0" labelOnly="1" outline="0" axis="axisValues" fieldPosition="0"/>
    </format>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57AE43-E155-4221-ADC5-DC27AB823C03}" name="PivotTable1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108:E112"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axis="axisRow" showAll="0">
      <items count="4">
        <item x="2"/>
        <item x="0"/>
        <item x="1"/>
        <item t="default"/>
      </items>
    </pivotField>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Revenue" fld="13" baseField="0" baseItem="0" numFmtId="164"/>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66AFAA-E410-4334-BC78-C732EF106A81}"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6:G7" firstHeaderRow="0" firstDataRow="1" firstDataCol="0"/>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5">
    <i>
      <x/>
    </i>
    <i i="1">
      <x v="1"/>
    </i>
    <i i="2">
      <x v="2"/>
    </i>
    <i i="3">
      <x v="3"/>
    </i>
    <i i="4">
      <x v="4"/>
    </i>
  </colItems>
  <dataFields count="5">
    <dataField name="Sum of Budget" fld="25" baseField="0" baseItem="0" numFmtId="168"/>
    <dataField name="Sum of Average Order Value" fld="26" baseField="0" baseItem="0" numFmtId="169"/>
    <dataField name="Sum of Cost Per Click" fld="27" baseField="0" baseItem="0" numFmtId="169"/>
    <dataField name="Sum of Cost Per Lead" fld="28" baseField="0" baseItem="0" numFmtId="169"/>
    <dataField name="Sum of Customer Acquisition Cost" fld="29" baseField="0" baseItem="0" numFmtId="169"/>
  </dataFields>
  <formats count="5">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2"/>
          </reference>
        </references>
      </pivotArea>
    </format>
    <format dxfId="31">
      <pivotArea outline="0" collapsedLevelsAreSubtotals="1" fieldPosition="0">
        <references count="1">
          <reference field="4294967294" count="1" selected="0">
            <x v="3"/>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4"/>
          </reference>
        </references>
      </pivotArea>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F83595B-C5C7-4B35-82B4-726699C2623C}" name="PivotTable1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H72:I75"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axis="axisRow"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Average of Revenue" fld="13" subtotal="average" baseField="3" baseItem="1"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CF2002D-1A5B-4F87-B559-D5BB8B82B747}"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72:E8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8">
        <item x="6"/>
        <item x="0"/>
        <item x="1"/>
        <item x="2"/>
        <item x="3"/>
        <item x="4"/>
        <item x="5"/>
        <item t="default"/>
      </items>
    </pivotField>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Average of Revenue" fld="13" subtotal="average" baseField="2" baseItem="5" numFmtId="164"/>
  </dataField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B54E99B-BFB3-4AA3-9A97-C2D469B1A36F}"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88:E100"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Revenue" fld="13" baseField="0" baseItem="0" numFmtId="164"/>
  </dataFields>
  <formats count="1">
    <format dxfId="3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1F4858D-ABFA-4141-BE94-559CB6D51D69}"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P35:S65" firstHeaderRow="1" firstDataRow="2" firstDataCol="1"/>
  <pivotFields count="34">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axis="axisCol"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8"/>
  </colFields>
  <colItems count="3">
    <i>
      <x/>
    </i>
    <i>
      <x v="1"/>
    </i>
    <i t="grand">
      <x/>
    </i>
  </colItems>
  <dataFields count="1">
    <dataField name="Sum of Conversion Rate 2" fld="33" baseField="0" baseItem="0" numFmtId="3"/>
  </dataFields>
  <formats count="87">
    <format dxfId="121">
      <pivotArea collapsedLevelsAreSubtotals="1" fieldPosition="0">
        <references count="2">
          <reference field="1" count="1">
            <x v="5"/>
          </reference>
          <reference field="18" count="1" selected="0">
            <x v="0"/>
          </reference>
        </references>
      </pivotArea>
    </format>
    <format dxfId="120">
      <pivotArea collapsedLevelsAreSubtotals="1" fieldPosition="0">
        <references count="2">
          <reference field="1" count="1">
            <x v="0"/>
          </reference>
          <reference field="18" count="1" selected="0">
            <x v="0"/>
          </reference>
        </references>
      </pivotArea>
    </format>
    <format dxfId="119">
      <pivotArea collapsedLevelsAreSubtotals="1" fieldPosition="0">
        <references count="2">
          <reference field="1" count="1">
            <x v="1"/>
          </reference>
          <reference field="18" count="1" selected="0">
            <x v="0"/>
          </reference>
        </references>
      </pivotArea>
    </format>
    <format dxfId="118">
      <pivotArea collapsedLevelsAreSubtotals="1" fieldPosition="0">
        <references count="2">
          <reference field="1" count="1">
            <x v="2"/>
          </reference>
          <reference field="18" count="1" selected="0">
            <x v="0"/>
          </reference>
        </references>
      </pivotArea>
    </format>
    <format dxfId="117">
      <pivotArea collapsedLevelsAreSubtotals="1" fieldPosition="0">
        <references count="2">
          <reference field="1" count="1">
            <x v="3"/>
          </reference>
          <reference field="18" count="1" selected="0">
            <x v="0"/>
          </reference>
        </references>
      </pivotArea>
    </format>
    <format dxfId="116">
      <pivotArea collapsedLevelsAreSubtotals="1" fieldPosition="0">
        <references count="2">
          <reference field="1" count="1">
            <x v="4"/>
          </reference>
          <reference field="18" count="1" selected="0">
            <x v="0"/>
          </reference>
        </references>
      </pivotArea>
    </format>
    <format dxfId="115">
      <pivotArea collapsedLevelsAreSubtotals="1" fieldPosition="0">
        <references count="2">
          <reference field="1" count="1">
            <x v="6"/>
          </reference>
          <reference field="18" count="1" selected="0">
            <x v="0"/>
          </reference>
        </references>
      </pivotArea>
    </format>
    <format dxfId="114">
      <pivotArea collapsedLevelsAreSubtotals="1" fieldPosition="0">
        <references count="2">
          <reference field="1" count="1">
            <x v="7"/>
          </reference>
          <reference field="18" count="1" selected="0">
            <x v="0"/>
          </reference>
        </references>
      </pivotArea>
    </format>
    <format dxfId="113">
      <pivotArea collapsedLevelsAreSubtotals="1" fieldPosition="0">
        <references count="2">
          <reference field="1" count="1">
            <x v="8"/>
          </reference>
          <reference field="18" count="1" selected="0">
            <x v="0"/>
          </reference>
        </references>
      </pivotArea>
    </format>
    <format dxfId="112">
      <pivotArea collapsedLevelsAreSubtotals="1" fieldPosition="0">
        <references count="2">
          <reference field="1" count="1">
            <x v="9"/>
          </reference>
          <reference field="18" count="1" selected="0">
            <x v="0"/>
          </reference>
        </references>
      </pivotArea>
    </format>
    <format dxfId="111">
      <pivotArea collapsedLevelsAreSubtotals="1" fieldPosition="0">
        <references count="2">
          <reference field="1" count="1">
            <x v="10"/>
          </reference>
          <reference field="18" count="1" selected="0">
            <x v="0"/>
          </reference>
        </references>
      </pivotArea>
    </format>
    <format dxfId="110">
      <pivotArea collapsedLevelsAreSubtotals="1" fieldPosition="0">
        <references count="2">
          <reference field="1" count="1">
            <x v="11"/>
          </reference>
          <reference field="18" count="1" selected="0">
            <x v="0"/>
          </reference>
        </references>
      </pivotArea>
    </format>
    <format dxfId="109">
      <pivotArea collapsedLevelsAreSubtotals="1" fieldPosition="0">
        <references count="2">
          <reference field="1" count="1">
            <x v="12"/>
          </reference>
          <reference field="18" count="1" selected="0">
            <x v="0"/>
          </reference>
        </references>
      </pivotArea>
    </format>
    <format dxfId="108">
      <pivotArea collapsedLevelsAreSubtotals="1" fieldPosition="0">
        <references count="2">
          <reference field="1" count="1">
            <x v="13"/>
          </reference>
          <reference field="18" count="1" selected="0">
            <x v="0"/>
          </reference>
        </references>
      </pivotArea>
    </format>
    <format dxfId="107">
      <pivotArea collapsedLevelsAreSubtotals="1" fieldPosition="0">
        <references count="2">
          <reference field="1" count="1">
            <x v="14"/>
          </reference>
          <reference field="18" count="1" selected="0">
            <x v="0"/>
          </reference>
        </references>
      </pivotArea>
    </format>
    <format dxfId="106">
      <pivotArea collapsedLevelsAreSubtotals="1" fieldPosition="0">
        <references count="2">
          <reference field="1" count="1">
            <x v="15"/>
          </reference>
          <reference field="18" count="1" selected="0">
            <x v="0"/>
          </reference>
        </references>
      </pivotArea>
    </format>
    <format dxfId="105">
      <pivotArea collapsedLevelsAreSubtotals="1" fieldPosition="0">
        <references count="2">
          <reference field="1" count="1">
            <x v="16"/>
          </reference>
          <reference field="18" count="1" selected="0">
            <x v="0"/>
          </reference>
        </references>
      </pivotArea>
    </format>
    <format dxfId="104">
      <pivotArea collapsedLevelsAreSubtotals="1" fieldPosition="0">
        <references count="2">
          <reference field="1" count="1">
            <x v="17"/>
          </reference>
          <reference field="18" count="1" selected="0">
            <x v="0"/>
          </reference>
        </references>
      </pivotArea>
    </format>
    <format dxfId="103">
      <pivotArea collapsedLevelsAreSubtotals="1" fieldPosition="0">
        <references count="2">
          <reference field="1" count="1">
            <x v="18"/>
          </reference>
          <reference field="18" count="1" selected="0">
            <x v="0"/>
          </reference>
        </references>
      </pivotArea>
    </format>
    <format dxfId="102">
      <pivotArea collapsedLevelsAreSubtotals="1" fieldPosition="0">
        <references count="2">
          <reference field="1" count="1">
            <x v="19"/>
          </reference>
          <reference field="18" count="1" selected="0">
            <x v="0"/>
          </reference>
        </references>
      </pivotArea>
    </format>
    <format dxfId="101">
      <pivotArea collapsedLevelsAreSubtotals="1" fieldPosition="0">
        <references count="2">
          <reference field="1" count="1">
            <x v="20"/>
          </reference>
          <reference field="18" count="1" selected="0">
            <x v="0"/>
          </reference>
        </references>
      </pivotArea>
    </format>
    <format dxfId="100">
      <pivotArea collapsedLevelsAreSubtotals="1" fieldPosition="0">
        <references count="2">
          <reference field="1" count="1">
            <x v="21"/>
          </reference>
          <reference field="18" count="1" selected="0">
            <x v="0"/>
          </reference>
        </references>
      </pivotArea>
    </format>
    <format dxfId="99">
      <pivotArea collapsedLevelsAreSubtotals="1" fieldPosition="0">
        <references count="2">
          <reference field="1" count="1">
            <x v="22"/>
          </reference>
          <reference field="18" count="1" selected="0">
            <x v="0"/>
          </reference>
        </references>
      </pivotArea>
    </format>
    <format dxfId="98">
      <pivotArea collapsedLevelsAreSubtotals="1" fieldPosition="0">
        <references count="2">
          <reference field="1" count="1">
            <x v="23"/>
          </reference>
          <reference field="18" count="1" selected="0">
            <x v="0"/>
          </reference>
        </references>
      </pivotArea>
    </format>
    <format dxfId="97">
      <pivotArea collapsedLevelsAreSubtotals="1" fieldPosition="0">
        <references count="2">
          <reference field="1" count="1">
            <x v="24"/>
          </reference>
          <reference field="18" count="1" selected="0">
            <x v="0"/>
          </reference>
        </references>
      </pivotArea>
    </format>
    <format dxfId="96">
      <pivotArea collapsedLevelsAreSubtotals="1" fieldPosition="0">
        <references count="2">
          <reference field="1" count="1">
            <x v="25"/>
          </reference>
          <reference field="18" count="1" selected="0">
            <x v="0"/>
          </reference>
        </references>
      </pivotArea>
    </format>
    <format dxfId="95">
      <pivotArea collapsedLevelsAreSubtotals="1" fieldPosition="0">
        <references count="2">
          <reference field="1" count="1">
            <x v="26"/>
          </reference>
          <reference field="18" count="1" selected="0">
            <x v="0"/>
          </reference>
        </references>
      </pivotArea>
    </format>
    <format dxfId="94">
      <pivotArea collapsedLevelsAreSubtotals="1" fieldPosition="0">
        <references count="2">
          <reference field="1" count="1">
            <x v="27"/>
          </reference>
          <reference field="18" count="1" selected="0">
            <x v="0"/>
          </reference>
        </references>
      </pivotArea>
    </format>
    <format dxfId="93">
      <pivotArea field="18" grandRow="1" outline="0" collapsedLevelsAreSubtotals="1" axis="axisCol" fieldPosition="0">
        <references count="1">
          <reference field="18" count="1" selected="0">
            <x v="0"/>
          </reference>
        </references>
      </pivotArea>
    </format>
    <format dxfId="92">
      <pivotArea collapsedLevelsAreSubtotals="1" fieldPosition="0">
        <references count="2">
          <reference field="1" count="1">
            <x v="0"/>
          </reference>
          <reference field="18" count="1" selected="0">
            <x v="1"/>
          </reference>
        </references>
      </pivotArea>
    </format>
    <format dxfId="91">
      <pivotArea field="1" grandCol="1" collapsedLevelsAreSubtotals="1" axis="axisRow" fieldPosition="0">
        <references count="1">
          <reference field="1" count="1">
            <x v="0"/>
          </reference>
        </references>
      </pivotArea>
    </format>
    <format dxfId="90">
      <pivotArea field="1" grandCol="1" collapsedLevelsAreSubtotals="1" axis="axisRow" fieldPosition="0">
        <references count="1">
          <reference field="1" count="1">
            <x v="1"/>
          </reference>
        </references>
      </pivotArea>
    </format>
    <format dxfId="89">
      <pivotArea collapsedLevelsAreSubtotals="1" fieldPosition="0">
        <references count="2">
          <reference field="1" count="1">
            <x v="1"/>
          </reference>
          <reference field="18" count="1" selected="0">
            <x v="1"/>
          </reference>
        </references>
      </pivotArea>
    </format>
    <format dxfId="88">
      <pivotArea collapsedLevelsAreSubtotals="1" fieldPosition="0">
        <references count="2">
          <reference field="1" count="1">
            <x v="2"/>
          </reference>
          <reference field="18" count="1" selected="0">
            <x v="1"/>
          </reference>
        </references>
      </pivotArea>
    </format>
    <format dxfId="87">
      <pivotArea field="1" grandCol="1" collapsedLevelsAreSubtotals="1" axis="axisRow" fieldPosition="0">
        <references count="1">
          <reference field="1" count="1">
            <x v="2"/>
          </reference>
        </references>
      </pivotArea>
    </format>
    <format dxfId="86">
      <pivotArea field="1" grandCol="1" collapsedLevelsAreSubtotals="1" axis="axisRow" fieldPosition="0">
        <references count="1">
          <reference field="1" count="1">
            <x v="3"/>
          </reference>
        </references>
      </pivotArea>
    </format>
    <format dxfId="85">
      <pivotArea collapsedLevelsAreSubtotals="1" fieldPosition="0">
        <references count="2">
          <reference field="1" count="1">
            <x v="3"/>
          </reference>
          <reference field="18" count="1" selected="0">
            <x v="1"/>
          </reference>
        </references>
      </pivotArea>
    </format>
    <format dxfId="84">
      <pivotArea collapsedLevelsAreSubtotals="1" fieldPosition="0">
        <references count="2">
          <reference field="1" count="1">
            <x v="4"/>
          </reference>
          <reference field="18" count="1" selected="0">
            <x v="1"/>
          </reference>
        </references>
      </pivotArea>
    </format>
    <format dxfId="83">
      <pivotArea field="1" grandCol="1" collapsedLevelsAreSubtotals="1" axis="axisRow" fieldPosition="0">
        <references count="1">
          <reference field="1" count="1">
            <x v="4"/>
          </reference>
        </references>
      </pivotArea>
    </format>
    <format dxfId="82">
      <pivotArea field="1" grandCol="1" collapsedLevelsAreSubtotals="1" axis="axisRow" fieldPosition="0">
        <references count="1">
          <reference field="1" count="1">
            <x v="5"/>
          </reference>
        </references>
      </pivotArea>
    </format>
    <format dxfId="81">
      <pivotArea collapsedLevelsAreSubtotals="1" fieldPosition="0">
        <references count="2">
          <reference field="1" count="1">
            <x v="5"/>
          </reference>
          <reference field="18" count="1" selected="0">
            <x v="1"/>
          </reference>
        </references>
      </pivotArea>
    </format>
    <format dxfId="80">
      <pivotArea collapsedLevelsAreSubtotals="1" fieldPosition="0">
        <references count="2">
          <reference field="1" count="1">
            <x v="6"/>
          </reference>
          <reference field="18" count="1" selected="0">
            <x v="1"/>
          </reference>
        </references>
      </pivotArea>
    </format>
    <format dxfId="79">
      <pivotArea field="1" grandCol="1" collapsedLevelsAreSubtotals="1" axis="axisRow" fieldPosition="0">
        <references count="1">
          <reference field="1" count="1">
            <x v="6"/>
          </reference>
        </references>
      </pivotArea>
    </format>
    <format dxfId="78">
      <pivotArea field="1" grandCol="1" collapsedLevelsAreSubtotals="1" axis="axisRow" fieldPosition="0">
        <references count="1">
          <reference field="1" count="1">
            <x v="7"/>
          </reference>
        </references>
      </pivotArea>
    </format>
    <format dxfId="77">
      <pivotArea collapsedLevelsAreSubtotals="1" fieldPosition="0">
        <references count="2">
          <reference field="1" count="1">
            <x v="7"/>
          </reference>
          <reference field="18" count="1" selected="0">
            <x v="1"/>
          </reference>
        </references>
      </pivotArea>
    </format>
    <format dxfId="76">
      <pivotArea collapsedLevelsAreSubtotals="1" fieldPosition="0">
        <references count="2">
          <reference field="1" count="1">
            <x v="8"/>
          </reference>
          <reference field="18" count="1" selected="0">
            <x v="1"/>
          </reference>
        </references>
      </pivotArea>
    </format>
    <format dxfId="75">
      <pivotArea field="1" grandCol="1" collapsedLevelsAreSubtotals="1" axis="axisRow" fieldPosition="0">
        <references count="1">
          <reference field="1" count="1">
            <x v="8"/>
          </reference>
        </references>
      </pivotArea>
    </format>
    <format dxfId="74">
      <pivotArea field="1" grandCol="1" collapsedLevelsAreSubtotals="1" axis="axisRow" fieldPosition="0">
        <references count="1">
          <reference field="1" count="1">
            <x v="9"/>
          </reference>
        </references>
      </pivotArea>
    </format>
    <format dxfId="73">
      <pivotArea collapsedLevelsAreSubtotals="1" fieldPosition="0">
        <references count="2">
          <reference field="1" count="1">
            <x v="9"/>
          </reference>
          <reference field="18" count="1" selected="0">
            <x v="1"/>
          </reference>
        </references>
      </pivotArea>
    </format>
    <format dxfId="72">
      <pivotArea collapsedLevelsAreSubtotals="1" fieldPosition="0">
        <references count="2">
          <reference field="1" count="1">
            <x v="10"/>
          </reference>
          <reference field="18" count="1" selected="0">
            <x v="1"/>
          </reference>
        </references>
      </pivotArea>
    </format>
    <format dxfId="71">
      <pivotArea field="1" grandCol="1" collapsedLevelsAreSubtotals="1" axis="axisRow" fieldPosition="0">
        <references count="1">
          <reference field="1" count="1">
            <x v="10"/>
          </reference>
        </references>
      </pivotArea>
    </format>
    <format dxfId="70">
      <pivotArea field="1" grandCol="1" collapsedLevelsAreSubtotals="1" axis="axisRow" fieldPosition="0">
        <references count="1">
          <reference field="1" count="1">
            <x v="11"/>
          </reference>
        </references>
      </pivotArea>
    </format>
    <format dxfId="69">
      <pivotArea collapsedLevelsAreSubtotals="1" fieldPosition="0">
        <references count="2">
          <reference field="1" count="1">
            <x v="11"/>
          </reference>
          <reference field="18" count="1" selected="0">
            <x v="1"/>
          </reference>
        </references>
      </pivotArea>
    </format>
    <format dxfId="68">
      <pivotArea collapsedLevelsAreSubtotals="1" fieldPosition="0">
        <references count="2">
          <reference field="1" count="1">
            <x v="12"/>
          </reference>
          <reference field="18" count="1" selected="0">
            <x v="1"/>
          </reference>
        </references>
      </pivotArea>
    </format>
    <format dxfId="67">
      <pivotArea field="1" grandCol="1" collapsedLevelsAreSubtotals="1" axis="axisRow" fieldPosition="0">
        <references count="1">
          <reference field="1" count="1">
            <x v="12"/>
          </reference>
        </references>
      </pivotArea>
    </format>
    <format dxfId="66">
      <pivotArea collapsedLevelsAreSubtotals="1" fieldPosition="0">
        <references count="2">
          <reference field="1" count="1">
            <x v="13"/>
          </reference>
          <reference field="18" count="1" selected="0">
            <x v="1"/>
          </reference>
        </references>
      </pivotArea>
    </format>
    <format dxfId="65">
      <pivotArea field="1" grandCol="1" collapsedLevelsAreSubtotals="1" axis="axisRow" fieldPosition="0">
        <references count="1">
          <reference field="1" count="1">
            <x v="13"/>
          </reference>
        </references>
      </pivotArea>
    </format>
    <format dxfId="64">
      <pivotArea field="1" grandCol="1" collapsedLevelsAreSubtotals="1" axis="axisRow" fieldPosition="0">
        <references count="1">
          <reference field="1" count="1">
            <x v="14"/>
          </reference>
        </references>
      </pivotArea>
    </format>
    <format dxfId="63">
      <pivotArea collapsedLevelsAreSubtotals="1" fieldPosition="0">
        <references count="2">
          <reference field="1" count="1">
            <x v="14"/>
          </reference>
          <reference field="18" count="1" selected="0">
            <x v="1"/>
          </reference>
        </references>
      </pivotArea>
    </format>
    <format dxfId="62">
      <pivotArea collapsedLevelsAreSubtotals="1" fieldPosition="0">
        <references count="2">
          <reference field="1" count="1">
            <x v="15"/>
          </reference>
          <reference field="18" count="1" selected="0">
            <x v="1"/>
          </reference>
        </references>
      </pivotArea>
    </format>
    <format dxfId="61">
      <pivotArea field="1" grandCol="1" collapsedLevelsAreSubtotals="1" axis="axisRow" fieldPosition="0">
        <references count="1">
          <reference field="1" count="1">
            <x v="15"/>
          </reference>
        </references>
      </pivotArea>
    </format>
    <format dxfId="60">
      <pivotArea field="1" grandCol="1" collapsedLevelsAreSubtotals="1" axis="axisRow" fieldPosition="0">
        <references count="1">
          <reference field="1" count="1">
            <x v="16"/>
          </reference>
        </references>
      </pivotArea>
    </format>
    <format dxfId="59">
      <pivotArea collapsedLevelsAreSubtotals="1" fieldPosition="0">
        <references count="2">
          <reference field="1" count="1">
            <x v="16"/>
          </reference>
          <reference field="18" count="1" selected="0">
            <x v="1"/>
          </reference>
        </references>
      </pivotArea>
    </format>
    <format dxfId="58">
      <pivotArea collapsedLevelsAreSubtotals="1" fieldPosition="0">
        <references count="2">
          <reference field="1" count="1">
            <x v="17"/>
          </reference>
          <reference field="18" count="1" selected="0">
            <x v="1"/>
          </reference>
        </references>
      </pivotArea>
    </format>
    <format dxfId="57">
      <pivotArea field="1" grandCol="1" collapsedLevelsAreSubtotals="1" axis="axisRow" fieldPosition="0">
        <references count="1">
          <reference field="1" count="1">
            <x v="17"/>
          </reference>
        </references>
      </pivotArea>
    </format>
    <format dxfId="56">
      <pivotArea field="1" grandCol="1" collapsedLevelsAreSubtotals="1" axis="axisRow" fieldPosition="0">
        <references count="1">
          <reference field="1" count="1">
            <x v="18"/>
          </reference>
        </references>
      </pivotArea>
    </format>
    <format dxfId="55">
      <pivotArea collapsedLevelsAreSubtotals="1" fieldPosition="0">
        <references count="2">
          <reference field="1" count="1">
            <x v="18"/>
          </reference>
          <reference field="18" count="1" selected="0">
            <x v="1"/>
          </reference>
        </references>
      </pivotArea>
    </format>
    <format dxfId="54">
      <pivotArea collapsedLevelsAreSubtotals="1" fieldPosition="0">
        <references count="2">
          <reference field="1" count="1">
            <x v="19"/>
          </reference>
          <reference field="18" count="1" selected="0">
            <x v="1"/>
          </reference>
        </references>
      </pivotArea>
    </format>
    <format dxfId="53">
      <pivotArea field="1" grandCol="1" collapsedLevelsAreSubtotals="1" axis="axisRow" fieldPosition="0">
        <references count="1">
          <reference field="1" count="1">
            <x v="19"/>
          </reference>
        </references>
      </pivotArea>
    </format>
    <format dxfId="52">
      <pivotArea field="1" grandCol="1" collapsedLevelsAreSubtotals="1" axis="axisRow" fieldPosition="0">
        <references count="1">
          <reference field="1" count="1">
            <x v="20"/>
          </reference>
        </references>
      </pivotArea>
    </format>
    <format dxfId="51">
      <pivotArea collapsedLevelsAreSubtotals="1" fieldPosition="0">
        <references count="2">
          <reference field="1" count="1">
            <x v="20"/>
          </reference>
          <reference field="18" count="1" selected="0">
            <x v="1"/>
          </reference>
        </references>
      </pivotArea>
    </format>
    <format dxfId="50">
      <pivotArea collapsedLevelsAreSubtotals="1" fieldPosition="0">
        <references count="2">
          <reference field="1" count="1">
            <x v="21"/>
          </reference>
          <reference field="18" count="1" selected="0">
            <x v="1"/>
          </reference>
        </references>
      </pivotArea>
    </format>
    <format dxfId="49">
      <pivotArea field="1" grandCol="1" collapsedLevelsAreSubtotals="1" axis="axisRow" fieldPosition="0">
        <references count="1">
          <reference field="1" count="1">
            <x v="21"/>
          </reference>
        </references>
      </pivotArea>
    </format>
    <format dxfId="48">
      <pivotArea collapsedLevelsAreSubtotals="1" fieldPosition="0">
        <references count="2">
          <reference field="1" count="1">
            <x v="22"/>
          </reference>
          <reference field="18" count="1" selected="0">
            <x v="1"/>
          </reference>
        </references>
      </pivotArea>
    </format>
    <format dxfId="47">
      <pivotArea field="1" grandCol="1" collapsedLevelsAreSubtotals="1" axis="axisRow" fieldPosition="0">
        <references count="1">
          <reference field="1" count="1">
            <x v="22"/>
          </reference>
        </references>
      </pivotArea>
    </format>
    <format dxfId="46">
      <pivotArea field="1" grandCol="1" collapsedLevelsAreSubtotals="1" axis="axisRow" fieldPosition="0">
        <references count="1">
          <reference field="1" count="1">
            <x v="23"/>
          </reference>
        </references>
      </pivotArea>
    </format>
    <format dxfId="45">
      <pivotArea collapsedLevelsAreSubtotals="1" fieldPosition="0">
        <references count="2">
          <reference field="1" count="1">
            <x v="23"/>
          </reference>
          <reference field="18" count="1" selected="0">
            <x v="1"/>
          </reference>
        </references>
      </pivotArea>
    </format>
    <format dxfId="44">
      <pivotArea collapsedLevelsAreSubtotals="1" fieldPosition="0">
        <references count="2">
          <reference field="1" count="1">
            <x v="24"/>
          </reference>
          <reference field="18" count="1" selected="0">
            <x v="1"/>
          </reference>
        </references>
      </pivotArea>
    </format>
    <format dxfId="43">
      <pivotArea field="1" grandCol="1" collapsedLevelsAreSubtotals="1" axis="axisRow" fieldPosition="0">
        <references count="1">
          <reference field="1" count="1">
            <x v="24"/>
          </reference>
        </references>
      </pivotArea>
    </format>
    <format dxfId="42">
      <pivotArea field="1" grandCol="1" collapsedLevelsAreSubtotals="1" axis="axisRow" fieldPosition="0">
        <references count="1">
          <reference field="1" count="1">
            <x v="25"/>
          </reference>
        </references>
      </pivotArea>
    </format>
    <format dxfId="41">
      <pivotArea collapsedLevelsAreSubtotals="1" fieldPosition="0">
        <references count="2">
          <reference field="1" count="1">
            <x v="25"/>
          </reference>
          <reference field="18" count="1" selected="0">
            <x v="1"/>
          </reference>
        </references>
      </pivotArea>
    </format>
    <format dxfId="40">
      <pivotArea collapsedLevelsAreSubtotals="1" fieldPosition="0">
        <references count="2">
          <reference field="1" count="1">
            <x v="26"/>
          </reference>
          <reference field="18" count="1" selected="0">
            <x v="1"/>
          </reference>
        </references>
      </pivotArea>
    </format>
    <format dxfId="39">
      <pivotArea field="1" grandCol="1" collapsedLevelsAreSubtotals="1" axis="axisRow" fieldPosition="0">
        <references count="1">
          <reference field="1" count="1">
            <x v="26"/>
          </reference>
        </references>
      </pivotArea>
    </format>
    <format dxfId="38">
      <pivotArea field="1" grandCol="1" collapsedLevelsAreSubtotals="1" axis="axisRow" fieldPosition="0">
        <references count="1">
          <reference field="1" count="1">
            <x v="27"/>
          </reference>
        </references>
      </pivotArea>
    </format>
    <format dxfId="37">
      <pivotArea collapsedLevelsAreSubtotals="1" fieldPosition="0">
        <references count="2">
          <reference field="1" count="1">
            <x v="27"/>
          </reference>
          <reference field="18" count="1" selected="0">
            <x v="1"/>
          </reference>
        </references>
      </pivotArea>
    </format>
    <format dxfId="36">
      <pivotArea field="18" grandRow="1" outline="0" collapsedLevelsAreSubtotals="1" axis="axisCol" fieldPosition="0">
        <references count="1">
          <reference field="18" count="1" selected="0">
            <x v="1"/>
          </reference>
        </references>
      </pivotArea>
    </format>
    <format dxfId="35">
      <pivotArea grandRow="1" grandCol="1" outline="0" collapsedLevelsAreSubtotals="1" fieldPosition="0"/>
    </format>
  </formats>
  <chartFormats count="8">
    <chartFormat chart="4" format="6" series="1">
      <pivotArea type="data" outline="0" fieldPosition="0">
        <references count="1">
          <reference field="18" count="1" selected="0">
            <x v="0"/>
          </reference>
        </references>
      </pivotArea>
    </chartFormat>
    <chartFormat chart="4" format="7" series="1">
      <pivotArea type="data" outline="0" fieldPosition="0">
        <references count="1">
          <reference field="18" count="1" selected="0">
            <x v="1"/>
          </reference>
        </references>
      </pivotArea>
    </chartFormat>
    <chartFormat chart="0" format="2" series="1">
      <pivotArea type="data" outline="0" fieldPosition="0">
        <references count="1">
          <reference field="18" count="1" selected="0">
            <x v="0"/>
          </reference>
        </references>
      </pivotArea>
    </chartFormat>
    <chartFormat chart="0" format="3" series="1">
      <pivotArea type="data" outline="0" fieldPosition="0">
        <references count="1">
          <reference field="18" count="1" selected="0">
            <x v="1"/>
          </reference>
        </references>
      </pivotArea>
    </chartFormat>
    <chartFormat chart="0" format="10" series="1">
      <pivotArea type="data" outline="0" fieldPosition="0">
        <references count="2">
          <reference field="4294967294" count="1" selected="0">
            <x v="0"/>
          </reference>
          <reference field="18" count="1" selected="0">
            <x v="0"/>
          </reference>
        </references>
      </pivotArea>
    </chartFormat>
    <chartFormat chart="0" format="11" series="1">
      <pivotArea type="data" outline="0" fieldPosition="0">
        <references count="2">
          <reference field="4294967294" count="1" selected="0">
            <x v="0"/>
          </reference>
          <reference field="18" count="1" selected="0">
            <x v="1"/>
          </reference>
        </references>
      </pivotArea>
    </chartFormat>
    <chartFormat chart="4" format="14" series="1">
      <pivotArea type="data" outline="0" fieldPosition="0">
        <references count="2">
          <reference field="4294967294" count="1" selected="0">
            <x v="0"/>
          </reference>
          <reference field="18" count="1" selected="0">
            <x v="0"/>
          </reference>
        </references>
      </pivotArea>
    </chartFormat>
    <chartFormat chart="4" format="15" series="1">
      <pivotArea type="data" outline="0" fieldPosition="0">
        <references count="2">
          <reference field="4294967294" count="1" selected="0">
            <x v="0"/>
          </reference>
          <reference field="18" count="1" selected="0">
            <x v="1"/>
          </reference>
        </references>
      </pivotArea>
    </chartFormat>
  </chart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3C650CA-F579-42EC-8287-6D0AEC9DF82E}"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5:I64" firstHeaderRow="1" firstDataRow="1" firstDataCol="1"/>
  <pivotFields count="34">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showAll="0"/>
    <pivotField numFmtId="165" showAll="0"/>
    <pivotField numFmtId="3" showAll="0"/>
    <pivotField numFmtId="3" showAll="0"/>
    <pivotField numFmtId="3" showAll="0"/>
    <pivotField numFmtId="3" showAll="0"/>
    <pivotField dataField="1"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13" baseField="0" baseItem="0" numFmtId="164"/>
  </dataField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924CCB1-A0C8-4A48-BC59-34AF47E0B321}" name="PivotTable2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20:I125" firstHeaderRow="1" firstDataRow="1" firstDataCol="1"/>
  <pivotFields count="34">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3">
        <item x="0"/>
        <item x="1"/>
        <item t="default"/>
      </items>
    </pivotField>
    <pivotField showAll="0"/>
    <pivotField showAll="0">
      <items count="9">
        <item x="4"/>
        <item x="2"/>
        <item x="6"/>
        <item x="7"/>
        <item x="5"/>
        <item x="0"/>
        <item x="1"/>
        <item x="3"/>
        <item t="default"/>
      </items>
    </pivotField>
    <pivotField showAll="0"/>
    <pivotField axis="axisRow" showAll="0">
      <items count="5">
        <item x="2"/>
        <item x="3"/>
        <item x="1"/>
        <item x="0"/>
        <item t="default"/>
      </items>
    </pivotField>
    <pivotField numFmtId="165" showAll="0"/>
    <pivotField numFmtId="3" showAll="0"/>
    <pivotField numFmtId="3" showAll="0"/>
    <pivotField numFmtId="3" showAll="0"/>
    <pivotField numFmtId="3" showAll="0"/>
    <pivotField numFmtId="164" showAll="0"/>
    <pivotField numFmtId="10" showAll="0"/>
    <pivotField numFmtId="10" showAll="0"/>
    <pivotField showAll="0"/>
    <pivotField numFmtId="10" showAll="0"/>
    <pivotField showAll="0">
      <items count="3">
        <item x="1"/>
        <item x="0"/>
        <item t="default"/>
      </items>
    </pivotField>
    <pivotField numFmtId="3" showAll="0"/>
    <pivotField numFmtId="165" showAll="0"/>
    <pivotField numFmtId="165" showAll="0"/>
    <pivotField numFmtId="165" showAll="0"/>
    <pivotField numFmtId="165"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Items count="1">
    <i/>
  </colItems>
  <dataFields count="1">
    <dataField name="Sum of Customer Acquisition Cost" fld="29" baseField="0" baseItem="0"/>
  </dataFields>
  <formats count="2">
    <format dxfId="123">
      <pivotArea dataOnly="0" labelOnly="1" outline="0" axis="axisValues" fieldPosition="0"/>
    </format>
    <format dxfId="122">
      <pivotArea outline="0" collapsedLevelsAreSubtotals="1" fieldPosition="0"/>
    </format>
  </formats>
  <pivotTableStyleInfo name="PivotStyleDark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3C64D487-57E9-459C-AFBF-6BE71C8B681A}" sourceName="Campaign_Type">
  <pivotTables>
    <pivotTable tabId="6" name="PivotTable4"/>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3"/>
    <pivotTable tabId="6" name="PivotTable5"/>
    <pivotTable tabId="6" name="PivotTable6"/>
    <pivotTable tabId="6" name="PivotTable7"/>
    <pivotTable tabId="6" name="PivotTable8"/>
    <pivotTable tabId="6" name="PivotTable9"/>
    <pivotTable tabId="6" name="PivotTable22"/>
    <pivotTable tabId="6" name="PivotTable1"/>
    <pivotTable tabId="6" name="PivotTable21"/>
    <pivotTable tabId="6" name="PivotTable23"/>
    <pivotTable tabId="6" name="PivotTable24"/>
  </pivotTables>
  <data>
    <tabular pivotCacheId="1027257866">
      <items count="8">
        <i x="4" s="1"/>
        <i x="2" s="1"/>
        <i x="6" s="1"/>
        <i x="7" s="1"/>
        <i x="5"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2__Grouped" xr10:uid="{381128BE-22C8-4B42-A587-6A48265BE13C}" sourceName="Conversion2 (Grouped)">
  <pivotTables>
    <pivotTable tabId="6" name="PivotTable2"/>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0"/>
    <pivotTable tabId="6" name="PivotTable22"/>
    <pivotTable tabId="6" name="PivotTable3"/>
    <pivotTable tabId="6" name="PivotTable4"/>
    <pivotTable tabId="6" name="PivotTable5"/>
    <pivotTable tabId="6" name="PivotTable6"/>
    <pivotTable tabId="6" name="PivotTable7"/>
    <pivotTable tabId="6" name="PivotTable8"/>
    <pivotTable tabId="6" name="PivotTable9"/>
    <pivotTable tabId="6" name="PivotTable1"/>
    <pivotTable tabId="6" name="PivotTable21"/>
    <pivotTable tabId="6" name="PivotTable23"/>
    <pivotTable tabId="6" name="PivotTable24"/>
  </pivotTables>
  <data>
    <tabular pivotCacheId="102725786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DF8C5245-6E67-4EC9-AAC1-9C12ABC2489A}" sourceName="Week">
  <pivotTables>
    <pivotTable tabId="6" name="PivotTable13"/>
    <pivotTable tabId="6" name="PivotTable10"/>
    <pivotTable tabId="6" name="PivotTable11"/>
    <pivotTable tabId="6" name="PivotTable12"/>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2"/>
    <pivotTable tabId="6" name="PivotTable3"/>
    <pivotTable tabId="6" name="PivotTable4"/>
    <pivotTable tabId="6" name="PivotTable5"/>
    <pivotTable tabId="6" name="PivotTable6"/>
    <pivotTable tabId="6" name="PivotTable7"/>
    <pivotTable tabId="6" name="PivotTable8"/>
    <pivotTable tabId="6" name="PivotTable9"/>
    <pivotTable tabId="6" name="PivotTable1"/>
    <pivotTable tabId="6" name="PivotTable21"/>
    <pivotTable tabId="6" name="PivotTable23"/>
    <pivotTable tabId="6" name="PivotTable24"/>
  </pivotTables>
  <data>
    <tabular pivotCacheId="10272578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xr10:uid="{FC237001-832C-4722-A112-BAC7D2446C73}" cache="Slicer_Campaign_Type" caption="Campaign_Type" rowHeight="251883"/>
  <slicer name="Conversion2 (Grouped)" xr10:uid="{F8EC14A8-4071-492F-809A-CAF70E592CA3}" cache="Slicer_Conversion2__Grouped" caption="Conversion2 (Grouped)" rowHeight="251883"/>
  <slicer name="Week" xr10:uid="{8334957C-6A30-4094-916E-54D3FE760C0F}" cache="Slicer_Week" caption="Week"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1" xr10:uid="{770BD9B2-4A2F-4A70-8407-2A5E4FD4989F}" cache="Slicer_Campaign_Type" caption="Campaign_Type" style="SlicerStyleLight1 2" rowHeight="251883"/>
  <slicer name="Conversion2 (Grouped) 1" xr10:uid="{69837FF1-7BC5-455D-AC05-55B800B97690}" cache="Slicer_Conversion2__Grouped" caption="Conversion Rate" style="SlicerStyleLight1 2" rowHeight="251883"/>
  <slicer name="Week 1" xr10:uid="{A73E829B-3731-466B-823F-56CF02B2DA21}" cache="Slicer_Week" caption="Week"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5EF145-7C5D-4FB3-A135-5D9D7AF4281D}" name="Table2" displayName="Table2" ref="A1:K309" totalsRowShown="0">
  <autoFilter ref="A1:K309" xr:uid="{C2EB7666-5C19-4C7D-A771-4F64183541F8}"/>
  <tableColumns count="11">
    <tableColumn id="1" xr3:uid="{567AA9E8-D0F4-4D41-A73E-71D798AD9ACD}" name="id"/>
    <tableColumn id="2" xr3:uid="{2637F70E-9BDB-4C1C-8BD2-19742EC9A191}" name="c_date" dataDxfId="146"/>
    <tableColumn id="3" xr3:uid="{604CA2F3-B79E-4DDE-BE71-CC9F2B6F07A2}" name="campaign_name"/>
    <tableColumn id="4" xr3:uid="{76B22B3F-0DCF-4B7D-8346-EBAA35D4D463}" name="category"/>
    <tableColumn id="5" xr3:uid="{2AD23BF8-E199-48AA-B184-3F4B2D86C00C}" name="campaign_id"/>
    <tableColumn id="6" xr3:uid="{B82E0020-5946-45ED-9496-BC90B3107ECC}" name="impressions"/>
    <tableColumn id="7" xr3:uid="{653D07A9-4E7B-4157-8CEE-9323317A31F6}" name="mark_spent"/>
    <tableColumn id="8" xr3:uid="{67C5F495-C560-4894-B175-C05BC3C248A6}" name="clicks"/>
    <tableColumn id="9" xr3:uid="{6F755C12-EA2B-495E-9AF1-5BBB5810E790}" name="leads"/>
    <tableColumn id="10" xr3:uid="{7038346F-E6D1-4A3A-BB6D-1569FC741073}" name="orders"/>
    <tableColumn id="11" xr3:uid="{2295A2FC-AA3B-4FA8-925E-020EA37FC4A5}" name="revenu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419AC6-F13C-4666-842D-67A692F8C4DE}" name="Table1" displayName="Table1" ref="A1:Y309" totalsRowShown="0">
  <autoFilter ref="A1:Y309" xr:uid="{E7419AC6-F13C-4666-842D-67A692F8C4DE}"/>
  <tableColumns count="25">
    <tableColumn id="1" xr3:uid="{646DAAC3-279B-4D0A-B5D5-0640BD85AABA}" name="Campaign_Id"/>
    <tableColumn id="2" xr3:uid="{117AB622-DB00-4857-AB6F-5076F33065B2}" name="Date" dataDxfId="145"/>
    <tableColumn id="11" xr3:uid="{B20F25A0-683D-46F6-B068-5CEC3D52634B}" name="Day" dataDxfId="144">
      <calculatedColumnFormula>TEXT(Table1[[#This Row],[Date]],"dddd")</calculatedColumnFormula>
    </tableColumn>
    <tableColumn id="12" xr3:uid="{544C8389-2F25-4B3B-9411-FCD39C41B480}" name="Week" dataDxfId="143">
      <calculatedColumnFormula>IF(WEEKDAY(Table1[[#This Row],[Date]],2)&gt;5,"Weekend","Weekday")</calculatedColumnFormula>
    </tableColumn>
    <tableColumn id="3" xr3:uid="{CDECD885-ECBC-4475-9785-3554A20DE4F6}" name="Campaign_Name"/>
    <tableColumn id="14" xr3:uid="{0ECDAC4C-CAFB-4A95-B5B6-1132FF9F6462}" name="Campaign_Type" dataDxfId="142">
      <calculatedColumnFormula>_xlfn.TEXTAFTER(Table1[[#This Row],[Campaign_Name]],"_")</calculatedColumnFormula>
    </tableColumn>
    <tableColumn id="13" xr3:uid="{41715285-98C2-4CEC-9D53-25CB922EBE5A}" name="Location" dataDxfId="141">
      <calculatedColumnFormula>IF(ISNUMBER(SEARCH("Tier1",Table1[[#This Row],[Campaign_Name]])),"Tier1",IF(ISNUMBER(SEARCH("Tier2",Table1[[#This Row],[Campaign_Name]])),"Tier2","Not Applicable"))</calculatedColumnFormula>
    </tableColumn>
    <tableColumn id="4" xr3:uid="{04F1CF6E-B074-4B55-A7CC-20EB9F591900}" name="Category"/>
    <tableColumn id="5" xr3:uid="{273C6722-5341-4E38-837D-2A1EC11BD4F1}" name="Market_Budget" dataDxfId="140"/>
    <tableColumn id="6" xr3:uid="{BC28D781-2A9C-4267-9AF7-3AFF77EED58E}" name="Impressions" dataDxfId="139" dataCellStyle="Comma"/>
    <tableColumn id="7" xr3:uid="{82AE7FE5-30E7-4E65-AB2B-6AF88F64E043}" name="Clicks" dataDxfId="138" dataCellStyle="Comma"/>
    <tableColumn id="8" xr3:uid="{52787903-1121-4257-9A9F-D17CB15B28CA}" name="Leads" dataDxfId="137" dataCellStyle="Comma"/>
    <tableColumn id="9" xr3:uid="{6CBFF8DA-0479-4B09-A225-6117099B6D49}" name="Orders" dataDxfId="136" dataCellStyle="Comma"/>
    <tableColumn id="10" xr3:uid="{9019F185-7A8E-4593-8B9D-BC5249EB6AA7}" name="Revenue" dataDxfId="135"/>
    <tableColumn id="15" xr3:uid="{928A3315-9371-489E-BF22-B9C5F34726DF}" name="CTR" dataDxfId="134" dataCellStyle="Percent">
      <calculatedColumnFormula>Table1[[#This Row],[Clicks]]/Table1[[#This Row],[Impressions]]</calculatedColumnFormula>
    </tableColumn>
    <tableColumn id="16" xr3:uid="{147ED293-FA16-4D89-A56C-159F7AD4B6A2}" name="Conversion1" dataDxfId="133" dataCellStyle="Percent">
      <calculatedColumnFormula>Table1[[#This Row],[Leads]]/Table1[[#This Row],[Clicks]]</calculatedColumnFormula>
    </tableColumn>
    <tableColumn id="25" xr3:uid="{E48CE211-631D-4311-8FAA-01ECC99DBA04}" name="Conversion1 (Grouped)" dataDxfId="132" dataCellStyle="Percent">
      <calculatedColumnFormula>IF(Table1[[#This Row],[Conversion1]]&gt;=2%,"High","Low")</calculatedColumnFormula>
    </tableColumn>
    <tableColumn id="17" xr3:uid="{C77CF23E-140F-4DAA-A954-E987FF78885F}" name="Conversion2" dataDxfId="131" dataCellStyle="Percent">
      <calculatedColumnFormula>IFERROR(Table1[[#This Row],[Orders]]/Table1[[#This Row],[Leads]],0)</calculatedColumnFormula>
    </tableColumn>
    <tableColumn id="27" xr3:uid="{A9986D3C-DA1E-4614-A0BA-1F518F5940B7}" name="Conversion2 (Grouped)" dataDxfId="130" dataCellStyle="Percent">
      <calculatedColumnFormula>IF(Table1[[#This Row],[Conversion2]]&gt;=15%,"High","Low")</calculatedColumnFormula>
    </tableColumn>
    <tableColumn id="18" xr3:uid="{221AF6A2-42A7-4065-AA8B-8C12B409DDC7}" name="AOV" dataDxfId="129" dataCellStyle="Comma">
      <calculatedColumnFormula>IFERROR(Table1[[#This Row],[Revenue]]/Table1[[#This Row],[Orders]],0)</calculatedColumnFormula>
    </tableColumn>
    <tableColumn id="19" xr3:uid="{47518049-02F5-4408-AE62-1F82F7A7BAB5}" name="CPC" dataDxfId="128" dataCellStyle="Comma">
      <calculatedColumnFormula>Table1[[#This Row],[Market_Budget]]/Table1[[#This Row],[Clicks]]</calculatedColumnFormula>
    </tableColumn>
    <tableColumn id="20" xr3:uid="{9820883F-2FFA-4D1C-9633-3FEB5E0106CF}" name="CPL" dataDxfId="127" dataCellStyle="Comma">
      <calculatedColumnFormula>IFERROR(Table1[[#This Row],[Market_Budget]]/Table1[[#This Row],[Leads]],0)</calculatedColumnFormula>
    </tableColumn>
    <tableColumn id="21" xr3:uid="{2431D859-CC06-41D7-975A-5C5D42A854CD}" name="CAC" dataDxfId="126" dataCellStyle="Comma">
      <calculatedColumnFormula>IFERROR(Table1[[#This Row],[Market_Budget]]/Table1[[#This Row],[Orders]],0)</calculatedColumnFormula>
    </tableColumn>
    <tableColumn id="22" xr3:uid="{6E407789-4FD3-45F1-9F39-06F4B9C427FE}" name="ROMI" dataDxfId="125" dataCellStyle="Comma">
      <calculatedColumnFormula>(Table1[[#This Row],[Revenue]]-Table1[[#This Row],[Market_Budget]])/Table1[[#This Row],[Market_Budget]]</calculatedColumnFormula>
    </tableColumn>
    <tableColumn id="23" xr3:uid="{19418485-1D71-4DC9-9224-7AB56DFABA42}" name="Gross Profit/Loss" dataDxfId="124" dataCellStyle="Comma">
      <calculatedColumnFormula>Table1[[#This Row],[Revenue]]-Table1[[#This Row],[Market_Budget]]</calculatedColumnFormula>
    </tableColumn>
  </tableColumns>
  <tableStyleInfo name="TableStyleMedium9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280C48F-68C3-4894-8E35-F172BEDE3C3E}" sourceName="Date">
  <pivotTables>
    <pivotTable tabId="6" name="PivotTable6"/>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3"/>
    <pivotTable tabId="6" name="PivotTable4"/>
    <pivotTable tabId="6" name="PivotTable5"/>
    <pivotTable tabId="6" name="PivotTable7"/>
    <pivotTable tabId="6" name="PivotTable8"/>
    <pivotTable tabId="6" name="PivotTable9"/>
    <pivotTable tabId="6" name="PivotTable22"/>
    <pivotTable tabId="6" name="PivotTable1"/>
    <pivotTable tabId="6" name="PivotTable21"/>
    <pivotTable tabId="6" name="PivotTable23"/>
    <pivotTable tabId="6" name="PivotTable24"/>
  </pivotTables>
  <state minimalRefreshVersion="6" lastRefreshVersion="6" pivotCacheId="1027257866"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3C2AE80-707B-47E3-BD14-CB0770ABD6AA}" cache="NativeTimeline_Date" caption="Date" level="2" selectionLevel="2" scrollPosition="2021-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E9B0DE0-B07B-48D8-9AF5-A0C74D87591B}" cache="NativeTimeline_Date" caption="Date" showSelectionLabel="0" showHorizontalScrollbar="0" level="2" selectionLevel="2" scrollPosition="2021-05-19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B7666-5C19-4C7D-A771-4F64183541F8}">
  <dimension ref="A1:K309"/>
  <sheetViews>
    <sheetView workbookViewId="0">
      <selection activeCell="L8" sqref="L8"/>
    </sheetView>
  </sheetViews>
  <sheetFormatPr defaultRowHeight="14.5" x14ac:dyDescent="0.35"/>
  <cols>
    <col min="2" max="2" width="9.08984375" bestFit="1" customWidth="1"/>
    <col min="3" max="3" width="18.08984375" bestFit="1" customWidth="1"/>
    <col min="4" max="4" width="10.08984375" bestFit="1" customWidth="1"/>
    <col min="5" max="5" width="13.54296875" customWidth="1"/>
    <col min="6" max="6" width="13.08984375" customWidth="1"/>
    <col min="7" max="7" width="12.6328125" customWidth="1"/>
    <col min="11" max="11" width="9.54296875"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44228</v>
      </c>
      <c r="C2" t="s">
        <v>11</v>
      </c>
      <c r="D2" t="s">
        <v>12</v>
      </c>
      <c r="E2">
        <v>349043</v>
      </c>
      <c r="F2">
        <v>148263</v>
      </c>
      <c r="G2">
        <v>7307.37</v>
      </c>
      <c r="H2">
        <v>1210</v>
      </c>
      <c r="I2">
        <v>13</v>
      </c>
      <c r="J2">
        <v>1</v>
      </c>
      <c r="K2">
        <v>4981</v>
      </c>
    </row>
    <row r="3" spans="1:11" x14ac:dyDescent="0.35">
      <c r="A3">
        <v>2</v>
      </c>
      <c r="B3" s="1">
        <v>44228</v>
      </c>
      <c r="C3" t="s">
        <v>13</v>
      </c>
      <c r="D3" t="s">
        <v>12</v>
      </c>
      <c r="E3">
        <v>348934</v>
      </c>
      <c r="F3">
        <v>220688</v>
      </c>
      <c r="G3">
        <v>16300.2</v>
      </c>
      <c r="H3">
        <v>1640</v>
      </c>
      <c r="I3">
        <v>48</v>
      </c>
      <c r="J3">
        <v>3</v>
      </c>
      <c r="K3">
        <v>14962</v>
      </c>
    </row>
    <row r="4" spans="1:11" x14ac:dyDescent="0.35">
      <c r="A4">
        <v>3</v>
      </c>
      <c r="B4" s="1">
        <v>44228</v>
      </c>
      <c r="C4" t="s">
        <v>14</v>
      </c>
      <c r="D4" t="s">
        <v>15</v>
      </c>
      <c r="E4">
        <v>89459845</v>
      </c>
      <c r="F4">
        <v>22850</v>
      </c>
      <c r="G4">
        <v>5221.6000000000004</v>
      </c>
      <c r="H4">
        <v>457</v>
      </c>
      <c r="I4">
        <v>9</v>
      </c>
      <c r="J4">
        <v>1</v>
      </c>
      <c r="K4">
        <v>7981</v>
      </c>
    </row>
    <row r="5" spans="1:11" x14ac:dyDescent="0.35">
      <c r="A5">
        <v>4</v>
      </c>
      <c r="B5" s="1">
        <v>44228</v>
      </c>
      <c r="C5" t="s">
        <v>16</v>
      </c>
      <c r="D5" t="s">
        <v>15</v>
      </c>
      <c r="E5">
        <v>127823</v>
      </c>
      <c r="F5">
        <v>147038</v>
      </c>
      <c r="G5">
        <v>6037</v>
      </c>
      <c r="H5">
        <v>1196</v>
      </c>
      <c r="I5">
        <v>24</v>
      </c>
      <c r="J5">
        <v>1</v>
      </c>
      <c r="K5">
        <v>2114</v>
      </c>
    </row>
    <row r="6" spans="1:11" x14ac:dyDescent="0.35">
      <c r="A6">
        <v>5</v>
      </c>
      <c r="B6" s="1">
        <v>44228</v>
      </c>
      <c r="C6" t="s">
        <v>17</v>
      </c>
      <c r="D6" t="s">
        <v>18</v>
      </c>
      <c r="E6">
        <v>10934</v>
      </c>
      <c r="F6">
        <v>225800</v>
      </c>
      <c r="G6">
        <v>29962.2</v>
      </c>
      <c r="H6">
        <v>2258</v>
      </c>
      <c r="I6">
        <v>49</v>
      </c>
      <c r="J6">
        <v>10</v>
      </c>
      <c r="K6">
        <v>84490</v>
      </c>
    </row>
    <row r="7" spans="1:11" x14ac:dyDescent="0.35">
      <c r="A7">
        <v>6</v>
      </c>
      <c r="B7" s="1">
        <v>44228</v>
      </c>
      <c r="C7" t="s">
        <v>19</v>
      </c>
      <c r="D7" t="s">
        <v>12</v>
      </c>
      <c r="E7">
        <v>9034945</v>
      </c>
      <c r="F7">
        <v>444857</v>
      </c>
      <c r="G7">
        <v>9540.01</v>
      </c>
      <c r="H7">
        <v>1342</v>
      </c>
      <c r="I7">
        <v>27</v>
      </c>
      <c r="J7">
        <v>3</v>
      </c>
      <c r="K7">
        <v>17943</v>
      </c>
    </row>
    <row r="8" spans="1:11" x14ac:dyDescent="0.35">
      <c r="A8">
        <v>7</v>
      </c>
      <c r="B8" s="1">
        <v>44228</v>
      </c>
      <c r="C8" t="s">
        <v>20</v>
      </c>
      <c r="D8" t="s">
        <v>12</v>
      </c>
      <c r="E8">
        <v>983498</v>
      </c>
      <c r="F8">
        <v>511200</v>
      </c>
      <c r="G8">
        <v>3648.9</v>
      </c>
      <c r="H8">
        <v>2556</v>
      </c>
      <c r="I8">
        <v>94</v>
      </c>
      <c r="J8">
        <v>1</v>
      </c>
      <c r="K8">
        <v>1981</v>
      </c>
    </row>
    <row r="9" spans="1:11" x14ac:dyDescent="0.35">
      <c r="A9">
        <v>8</v>
      </c>
      <c r="B9" s="1">
        <v>44228</v>
      </c>
      <c r="C9" t="s">
        <v>21</v>
      </c>
      <c r="D9" t="s">
        <v>12</v>
      </c>
      <c r="E9">
        <v>4387490</v>
      </c>
      <c r="F9">
        <v>5544</v>
      </c>
      <c r="G9">
        <v>1293.55</v>
      </c>
      <c r="H9">
        <v>148</v>
      </c>
      <c r="I9">
        <v>3</v>
      </c>
      <c r="J9">
        <v>1</v>
      </c>
      <c r="K9">
        <v>4981</v>
      </c>
    </row>
    <row r="10" spans="1:11" x14ac:dyDescent="0.35">
      <c r="A10">
        <v>9</v>
      </c>
      <c r="B10" s="1">
        <v>44228</v>
      </c>
      <c r="C10" t="s">
        <v>22</v>
      </c>
      <c r="D10" t="s">
        <v>12</v>
      </c>
      <c r="E10">
        <v>544756</v>
      </c>
      <c r="F10">
        <v>56916</v>
      </c>
      <c r="G10">
        <v>16997.8</v>
      </c>
      <c r="H10">
        <v>596</v>
      </c>
      <c r="I10">
        <v>14</v>
      </c>
      <c r="J10">
        <v>2</v>
      </c>
      <c r="K10">
        <v>4162</v>
      </c>
    </row>
    <row r="11" spans="1:11" x14ac:dyDescent="0.35">
      <c r="A11">
        <v>10</v>
      </c>
      <c r="B11" s="1">
        <v>44228</v>
      </c>
      <c r="C11" t="s">
        <v>23</v>
      </c>
      <c r="D11" t="s">
        <v>18</v>
      </c>
      <c r="E11">
        <v>374754</v>
      </c>
      <c r="F11">
        <v>120436</v>
      </c>
      <c r="G11">
        <v>23604.1</v>
      </c>
      <c r="H11">
        <v>1498</v>
      </c>
      <c r="I11">
        <v>49</v>
      </c>
      <c r="J11">
        <v>7</v>
      </c>
      <c r="K11">
        <v>39081</v>
      </c>
    </row>
    <row r="12" spans="1:11" x14ac:dyDescent="0.35">
      <c r="A12">
        <v>11</v>
      </c>
      <c r="B12" s="1">
        <v>44228</v>
      </c>
      <c r="C12" t="s">
        <v>24</v>
      </c>
      <c r="D12" t="s">
        <v>25</v>
      </c>
      <c r="E12">
        <v>39889</v>
      </c>
      <c r="F12">
        <v>20900000</v>
      </c>
      <c r="G12">
        <v>931.99</v>
      </c>
      <c r="H12">
        <v>2090</v>
      </c>
      <c r="I12">
        <v>3</v>
      </c>
      <c r="J12">
        <v>0</v>
      </c>
      <c r="K12">
        <v>0</v>
      </c>
    </row>
    <row r="13" spans="1:11" x14ac:dyDescent="0.35">
      <c r="A13">
        <v>12</v>
      </c>
      <c r="B13" s="1">
        <v>44229</v>
      </c>
      <c r="C13" t="s">
        <v>11</v>
      </c>
      <c r="D13" t="s">
        <v>12</v>
      </c>
      <c r="E13">
        <v>349043</v>
      </c>
      <c r="F13">
        <v>478200</v>
      </c>
      <c r="G13">
        <v>18385.3</v>
      </c>
      <c r="H13">
        <v>2391</v>
      </c>
      <c r="I13">
        <v>48</v>
      </c>
      <c r="J13">
        <v>4</v>
      </c>
      <c r="K13">
        <v>17812</v>
      </c>
    </row>
    <row r="14" spans="1:11" x14ac:dyDescent="0.35">
      <c r="A14">
        <v>13</v>
      </c>
      <c r="B14" s="1">
        <v>44229</v>
      </c>
      <c r="C14" t="s">
        <v>13</v>
      </c>
      <c r="D14" t="s">
        <v>12</v>
      </c>
      <c r="E14">
        <v>348934</v>
      </c>
      <c r="F14">
        <v>957806</v>
      </c>
      <c r="G14">
        <v>2198.0500000000002</v>
      </c>
      <c r="H14">
        <v>3294</v>
      </c>
      <c r="I14">
        <v>10</v>
      </c>
      <c r="J14">
        <v>0</v>
      </c>
      <c r="K14">
        <v>0</v>
      </c>
    </row>
    <row r="15" spans="1:11" x14ac:dyDescent="0.35">
      <c r="A15">
        <v>14</v>
      </c>
      <c r="B15" s="1">
        <v>44229</v>
      </c>
      <c r="C15" t="s">
        <v>14</v>
      </c>
      <c r="D15" t="s">
        <v>15</v>
      </c>
      <c r="E15">
        <v>89459845</v>
      </c>
      <c r="F15">
        <v>43806</v>
      </c>
      <c r="G15">
        <v>11446.7</v>
      </c>
      <c r="H15">
        <v>907</v>
      </c>
      <c r="I15">
        <v>18</v>
      </c>
      <c r="J15">
        <v>3</v>
      </c>
      <c r="K15">
        <v>23943</v>
      </c>
    </row>
    <row r="16" spans="1:11" x14ac:dyDescent="0.35">
      <c r="A16">
        <v>15</v>
      </c>
      <c r="B16" s="1">
        <v>44229</v>
      </c>
      <c r="C16" t="s">
        <v>16</v>
      </c>
      <c r="D16" t="s">
        <v>15</v>
      </c>
      <c r="E16">
        <v>127823</v>
      </c>
      <c r="F16">
        <v>314704</v>
      </c>
      <c r="G16">
        <v>15153.6</v>
      </c>
      <c r="H16">
        <v>2395</v>
      </c>
      <c r="I16">
        <v>39</v>
      </c>
      <c r="J16">
        <v>4</v>
      </c>
      <c r="K16">
        <v>12540</v>
      </c>
    </row>
    <row r="17" spans="1:11" x14ac:dyDescent="0.35">
      <c r="A17">
        <v>16</v>
      </c>
      <c r="B17" s="1">
        <v>44229</v>
      </c>
      <c r="C17" t="s">
        <v>17</v>
      </c>
      <c r="D17" t="s">
        <v>18</v>
      </c>
      <c r="E17">
        <v>10934</v>
      </c>
      <c r="F17">
        <v>449200</v>
      </c>
      <c r="G17">
        <v>42301.1</v>
      </c>
      <c r="H17">
        <v>4492</v>
      </c>
      <c r="I17">
        <v>85</v>
      </c>
      <c r="J17">
        <v>17</v>
      </c>
      <c r="K17">
        <v>149141</v>
      </c>
    </row>
    <row r="18" spans="1:11" x14ac:dyDescent="0.35">
      <c r="A18">
        <v>17</v>
      </c>
      <c r="B18" s="1">
        <v>44229</v>
      </c>
      <c r="C18" t="s">
        <v>19</v>
      </c>
      <c r="D18" t="s">
        <v>12</v>
      </c>
      <c r="E18">
        <v>9034945</v>
      </c>
      <c r="F18">
        <v>540200</v>
      </c>
      <c r="G18">
        <v>29081.1</v>
      </c>
      <c r="H18">
        <v>2701</v>
      </c>
      <c r="I18">
        <v>54</v>
      </c>
      <c r="J18">
        <v>9</v>
      </c>
      <c r="K18">
        <v>45585</v>
      </c>
    </row>
    <row r="19" spans="1:11" x14ac:dyDescent="0.35">
      <c r="A19">
        <v>18</v>
      </c>
      <c r="B19" s="1">
        <v>44229</v>
      </c>
      <c r="C19" t="s">
        <v>20</v>
      </c>
      <c r="D19" t="s">
        <v>12</v>
      </c>
      <c r="E19">
        <v>983498</v>
      </c>
      <c r="F19">
        <v>1020800</v>
      </c>
      <c r="G19">
        <v>1421.34</v>
      </c>
      <c r="H19">
        <v>5104</v>
      </c>
      <c r="I19">
        <v>14</v>
      </c>
      <c r="J19">
        <v>0</v>
      </c>
      <c r="K19">
        <v>0</v>
      </c>
    </row>
    <row r="20" spans="1:11" x14ac:dyDescent="0.35">
      <c r="A20">
        <v>19</v>
      </c>
      <c r="B20" s="1">
        <v>44229</v>
      </c>
      <c r="C20" t="s">
        <v>21</v>
      </c>
      <c r="D20" t="s">
        <v>12</v>
      </c>
      <c r="E20">
        <v>4387490</v>
      </c>
      <c r="F20">
        <v>10033</v>
      </c>
      <c r="G20">
        <v>169.75</v>
      </c>
      <c r="H20">
        <v>301</v>
      </c>
      <c r="I20">
        <v>0</v>
      </c>
      <c r="J20">
        <v>0</v>
      </c>
      <c r="K20">
        <v>0</v>
      </c>
    </row>
    <row r="21" spans="1:11" x14ac:dyDescent="0.35">
      <c r="A21">
        <v>20</v>
      </c>
      <c r="B21" s="1">
        <v>44229</v>
      </c>
      <c r="C21" t="s">
        <v>22</v>
      </c>
      <c r="D21" t="s">
        <v>12</v>
      </c>
      <c r="E21">
        <v>544756</v>
      </c>
      <c r="F21">
        <v>107553</v>
      </c>
      <c r="G21">
        <v>8829.07</v>
      </c>
      <c r="H21">
        <v>1196</v>
      </c>
      <c r="I21">
        <v>7</v>
      </c>
      <c r="J21">
        <v>1</v>
      </c>
      <c r="K21">
        <v>1129</v>
      </c>
    </row>
    <row r="22" spans="1:11" x14ac:dyDescent="0.35">
      <c r="A22">
        <v>21</v>
      </c>
      <c r="B22" s="1">
        <v>44229</v>
      </c>
      <c r="C22" t="s">
        <v>23</v>
      </c>
      <c r="D22" t="s">
        <v>18</v>
      </c>
      <c r="E22">
        <v>374754</v>
      </c>
      <c r="F22">
        <v>299600</v>
      </c>
      <c r="G22">
        <v>13919.1</v>
      </c>
      <c r="H22">
        <v>2996</v>
      </c>
      <c r="I22">
        <v>19</v>
      </c>
      <c r="J22">
        <v>3</v>
      </c>
      <c r="K22">
        <v>14466</v>
      </c>
    </row>
    <row r="23" spans="1:11" x14ac:dyDescent="0.35">
      <c r="A23">
        <v>22</v>
      </c>
      <c r="B23" s="1">
        <v>44229</v>
      </c>
      <c r="C23" t="s">
        <v>24</v>
      </c>
      <c r="D23" t="s">
        <v>25</v>
      </c>
      <c r="E23">
        <v>39889</v>
      </c>
      <c r="F23">
        <v>42000000</v>
      </c>
      <c r="G23">
        <v>46159.8</v>
      </c>
      <c r="H23">
        <v>4200</v>
      </c>
      <c r="I23">
        <v>92</v>
      </c>
      <c r="J23">
        <v>13</v>
      </c>
      <c r="K23">
        <v>51753</v>
      </c>
    </row>
    <row r="24" spans="1:11" x14ac:dyDescent="0.35">
      <c r="A24">
        <v>23</v>
      </c>
      <c r="B24" s="1">
        <v>44230</v>
      </c>
      <c r="C24" t="s">
        <v>11</v>
      </c>
      <c r="D24" t="s">
        <v>12</v>
      </c>
      <c r="E24">
        <v>349043</v>
      </c>
      <c r="F24">
        <v>2313889</v>
      </c>
      <c r="G24">
        <v>65284.4</v>
      </c>
      <c r="H24">
        <v>7197</v>
      </c>
      <c r="I24">
        <v>115</v>
      </c>
      <c r="J24">
        <v>13</v>
      </c>
      <c r="K24">
        <v>72527</v>
      </c>
    </row>
    <row r="25" spans="1:11" x14ac:dyDescent="0.35">
      <c r="A25">
        <v>24</v>
      </c>
      <c r="B25" s="1">
        <v>44230</v>
      </c>
      <c r="C25" t="s">
        <v>13</v>
      </c>
      <c r="D25" t="s">
        <v>12</v>
      </c>
      <c r="E25">
        <v>348934</v>
      </c>
      <c r="F25">
        <v>1105666</v>
      </c>
      <c r="G25">
        <v>78958.3</v>
      </c>
      <c r="H25">
        <v>9898</v>
      </c>
      <c r="I25">
        <v>226</v>
      </c>
      <c r="J25">
        <v>12</v>
      </c>
      <c r="K25">
        <v>59772</v>
      </c>
    </row>
    <row r="26" spans="1:11" x14ac:dyDescent="0.35">
      <c r="A26">
        <v>25</v>
      </c>
      <c r="B26" s="1">
        <v>44230</v>
      </c>
      <c r="C26" t="s">
        <v>14</v>
      </c>
      <c r="D26" t="s">
        <v>15</v>
      </c>
      <c r="E26">
        <v>89459845</v>
      </c>
      <c r="F26">
        <v>134900</v>
      </c>
      <c r="G26">
        <v>77345.5</v>
      </c>
      <c r="H26">
        <v>2698</v>
      </c>
      <c r="I26">
        <v>84</v>
      </c>
      <c r="J26">
        <v>16</v>
      </c>
      <c r="K26">
        <v>115856</v>
      </c>
    </row>
    <row r="27" spans="1:11" x14ac:dyDescent="0.35">
      <c r="A27">
        <v>26</v>
      </c>
      <c r="B27" s="1">
        <v>44230</v>
      </c>
      <c r="C27" t="s">
        <v>16</v>
      </c>
      <c r="D27" t="s">
        <v>15</v>
      </c>
      <c r="E27">
        <v>127823</v>
      </c>
      <c r="F27">
        <v>4371854</v>
      </c>
      <c r="G27">
        <v>49498.9</v>
      </c>
      <c r="H27">
        <v>7207</v>
      </c>
      <c r="I27">
        <v>144</v>
      </c>
      <c r="J27">
        <v>13</v>
      </c>
      <c r="K27">
        <v>38753</v>
      </c>
    </row>
    <row r="28" spans="1:11" x14ac:dyDescent="0.35">
      <c r="A28">
        <v>27</v>
      </c>
      <c r="B28" s="1">
        <v>44230</v>
      </c>
      <c r="C28" t="s">
        <v>17</v>
      </c>
      <c r="D28" t="s">
        <v>18</v>
      </c>
      <c r="E28">
        <v>10934</v>
      </c>
      <c r="F28">
        <v>1035261</v>
      </c>
      <c r="G28">
        <v>189341</v>
      </c>
      <c r="H28">
        <v>13503</v>
      </c>
      <c r="I28">
        <v>455</v>
      </c>
      <c r="J28">
        <v>91</v>
      </c>
      <c r="K28">
        <v>772499</v>
      </c>
    </row>
    <row r="29" spans="1:11" x14ac:dyDescent="0.35">
      <c r="A29">
        <v>28</v>
      </c>
      <c r="B29" s="1">
        <v>44230</v>
      </c>
      <c r="C29" t="s">
        <v>19</v>
      </c>
      <c r="D29" t="s">
        <v>12</v>
      </c>
      <c r="E29">
        <v>9034945</v>
      </c>
      <c r="F29">
        <v>1618600</v>
      </c>
      <c r="G29">
        <v>62509.8</v>
      </c>
      <c r="H29">
        <v>8093</v>
      </c>
      <c r="I29">
        <v>166</v>
      </c>
      <c r="J29">
        <v>15</v>
      </c>
      <c r="K29">
        <v>84600</v>
      </c>
    </row>
    <row r="30" spans="1:11" x14ac:dyDescent="0.35">
      <c r="A30">
        <v>29</v>
      </c>
      <c r="B30" s="1">
        <v>44230</v>
      </c>
      <c r="C30" t="s">
        <v>20</v>
      </c>
      <c r="D30" t="s">
        <v>12</v>
      </c>
      <c r="E30">
        <v>983498</v>
      </c>
      <c r="F30">
        <v>3059600</v>
      </c>
      <c r="G30">
        <v>94399.9</v>
      </c>
      <c r="H30">
        <v>15298</v>
      </c>
      <c r="I30">
        <v>592</v>
      </c>
      <c r="J30">
        <v>36</v>
      </c>
      <c r="K30">
        <v>104184</v>
      </c>
    </row>
    <row r="31" spans="1:11" x14ac:dyDescent="0.35">
      <c r="A31">
        <v>30</v>
      </c>
      <c r="B31" s="1">
        <v>44230</v>
      </c>
      <c r="C31" t="s">
        <v>21</v>
      </c>
      <c r="D31" t="s">
        <v>12</v>
      </c>
      <c r="E31">
        <v>4387490</v>
      </c>
      <c r="F31">
        <v>29867</v>
      </c>
      <c r="G31">
        <v>5039.51</v>
      </c>
      <c r="H31">
        <v>896</v>
      </c>
      <c r="I31">
        <v>18</v>
      </c>
      <c r="J31">
        <v>4</v>
      </c>
      <c r="K31">
        <v>23560</v>
      </c>
    </row>
    <row r="32" spans="1:11" x14ac:dyDescent="0.35">
      <c r="A32">
        <v>31</v>
      </c>
      <c r="B32" s="1">
        <v>44230</v>
      </c>
      <c r="C32" t="s">
        <v>22</v>
      </c>
      <c r="D32" t="s">
        <v>12</v>
      </c>
      <c r="E32">
        <v>544756</v>
      </c>
      <c r="F32">
        <v>295009</v>
      </c>
      <c r="G32">
        <v>76716.399999999994</v>
      </c>
      <c r="H32">
        <v>3595</v>
      </c>
      <c r="I32">
        <v>72</v>
      </c>
      <c r="J32">
        <v>9</v>
      </c>
      <c r="K32">
        <v>5607</v>
      </c>
    </row>
    <row r="33" spans="1:11" x14ac:dyDescent="0.35">
      <c r="A33">
        <v>32</v>
      </c>
      <c r="B33" s="1">
        <v>44230</v>
      </c>
      <c r="C33" t="s">
        <v>23</v>
      </c>
      <c r="D33" t="s">
        <v>18</v>
      </c>
      <c r="E33">
        <v>374754</v>
      </c>
      <c r="F33">
        <v>667352</v>
      </c>
      <c r="G33">
        <v>194336</v>
      </c>
      <c r="H33">
        <v>8996</v>
      </c>
      <c r="I33">
        <v>342</v>
      </c>
      <c r="J33">
        <v>51</v>
      </c>
      <c r="K33">
        <v>254031</v>
      </c>
    </row>
    <row r="34" spans="1:11" x14ac:dyDescent="0.35">
      <c r="A34">
        <v>33</v>
      </c>
      <c r="B34" s="1">
        <v>44230</v>
      </c>
      <c r="C34" t="s">
        <v>24</v>
      </c>
      <c r="D34" t="s">
        <v>25</v>
      </c>
      <c r="E34">
        <v>39889</v>
      </c>
      <c r="F34">
        <v>125910000</v>
      </c>
      <c r="G34">
        <v>29378.3</v>
      </c>
      <c r="H34">
        <v>12591</v>
      </c>
      <c r="I34">
        <v>68</v>
      </c>
      <c r="J34">
        <v>13</v>
      </c>
      <c r="K34">
        <v>51753</v>
      </c>
    </row>
    <row r="35" spans="1:11" x14ac:dyDescent="0.35">
      <c r="A35">
        <v>34</v>
      </c>
      <c r="B35" s="1">
        <v>44231</v>
      </c>
      <c r="C35" t="s">
        <v>11</v>
      </c>
      <c r="D35" t="s">
        <v>12</v>
      </c>
      <c r="E35">
        <v>349043</v>
      </c>
      <c r="F35">
        <v>2475754</v>
      </c>
      <c r="G35">
        <v>173914</v>
      </c>
      <c r="H35">
        <v>9601</v>
      </c>
      <c r="I35">
        <v>192</v>
      </c>
      <c r="J35">
        <v>31</v>
      </c>
      <c r="K35">
        <v>154411</v>
      </c>
    </row>
    <row r="36" spans="1:11" x14ac:dyDescent="0.35">
      <c r="A36">
        <v>35</v>
      </c>
      <c r="B36" s="1">
        <v>44231</v>
      </c>
      <c r="C36" t="s">
        <v>13</v>
      </c>
      <c r="D36" t="s">
        <v>12</v>
      </c>
      <c r="E36">
        <v>348934</v>
      </c>
      <c r="F36">
        <v>4597702</v>
      </c>
      <c r="G36">
        <v>115389</v>
      </c>
      <c r="H36">
        <v>13206</v>
      </c>
      <c r="I36">
        <v>143</v>
      </c>
      <c r="J36">
        <v>17</v>
      </c>
      <c r="K36">
        <v>82909</v>
      </c>
    </row>
    <row r="37" spans="1:11" x14ac:dyDescent="0.35">
      <c r="A37">
        <v>36</v>
      </c>
      <c r="B37" s="1">
        <v>44231</v>
      </c>
      <c r="C37" t="s">
        <v>14</v>
      </c>
      <c r="D37" t="s">
        <v>15</v>
      </c>
      <c r="E37">
        <v>89459845</v>
      </c>
      <c r="F37">
        <v>196484</v>
      </c>
      <c r="G37">
        <v>41269.599999999999</v>
      </c>
      <c r="H37">
        <v>3599</v>
      </c>
      <c r="I37">
        <v>55</v>
      </c>
      <c r="J37">
        <v>9</v>
      </c>
      <c r="K37">
        <v>68589</v>
      </c>
    </row>
    <row r="38" spans="1:11" x14ac:dyDescent="0.35">
      <c r="A38">
        <v>37</v>
      </c>
      <c r="B38" s="1">
        <v>44231</v>
      </c>
      <c r="C38" t="s">
        <v>16</v>
      </c>
      <c r="D38" t="s">
        <v>15</v>
      </c>
      <c r="E38">
        <v>127823</v>
      </c>
      <c r="F38">
        <v>1531679</v>
      </c>
      <c r="G38">
        <v>60108.800000000003</v>
      </c>
      <c r="H38">
        <v>9591</v>
      </c>
      <c r="I38">
        <v>234</v>
      </c>
      <c r="J38">
        <v>17</v>
      </c>
      <c r="K38">
        <v>58990</v>
      </c>
    </row>
    <row r="39" spans="1:11" x14ac:dyDescent="0.35">
      <c r="A39">
        <v>38</v>
      </c>
      <c r="B39" s="1">
        <v>44231</v>
      </c>
      <c r="C39" t="s">
        <v>17</v>
      </c>
      <c r="D39" t="s">
        <v>18</v>
      </c>
      <c r="E39">
        <v>10934</v>
      </c>
      <c r="F39">
        <v>2120555</v>
      </c>
      <c r="G39">
        <v>185263</v>
      </c>
      <c r="H39">
        <v>17993</v>
      </c>
      <c r="I39">
        <v>445</v>
      </c>
      <c r="J39">
        <v>89</v>
      </c>
      <c r="K39">
        <v>624958</v>
      </c>
    </row>
    <row r="40" spans="1:11" x14ac:dyDescent="0.35">
      <c r="A40">
        <v>39</v>
      </c>
      <c r="B40" s="1">
        <v>44231</v>
      </c>
      <c r="C40" t="s">
        <v>19</v>
      </c>
      <c r="D40" t="s">
        <v>12</v>
      </c>
      <c r="E40">
        <v>9034945</v>
      </c>
      <c r="F40">
        <v>1322751</v>
      </c>
      <c r="G40">
        <v>104028</v>
      </c>
      <c r="H40">
        <v>10794</v>
      </c>
      <c r="I40">
        <v>238</v>
      </c>
      <c r="J40">
        <v>27</v>
      </c>
      <c r="K40">
        <v>179037</v>
      </c>
    </row>
    <row r="41" spans="1:11" x14ac:dyDescent="0.35">
      <c r="A41">
        <v>40</v>
      </c>
      <c r="B41" s="1">
        <v>44231</v>
      </c>
      <c r="C41" t="s">
        <v>20</v>
      </c>
      <c r="D41" t="s">
        <v>12</v>
      </c>
      <c r="E41">
        <v>983498</v>
      </c>
      <c r="F41">
        <v>3008227</v>
      </c>
      <c r="G41">
        <v>40119.199999999997</v>
      </c>
      <c r="H41">
        <v>20392</v>
      </c>
      <c r="I41">
        <v>408</v>
      </c>
      <c r="J41">
        <v>12</v>
      </c>
      <c r="K41">
        <v>23772</v>
      </c>
    </row>
    <row r="42" spans="1:11" x14ac:dyDescent="0.35">
      <c r="A42">
        <v>41</v>
      </c>
      <c r="B42" s="1">
        <v>44231</v>
      </c>
      <c r="C42" t="s">
        <v>21</v>
      </c>
      <c r="D42" t="s">
        <v>12</v>
      </c>
      <c r="E42">
        <v>4387490</v>
      </c>
      <c r="F42">
        <v>43160</v>
      </c>
      <c r="G42">
        <v>885.75</v>
      </c>
      <c r="H42">
        <v>1194</v>
      </c>
      <c r="I42">
        <v>4</v>
      </c>
      <c r="J42">
        <v>1</v>
      </c>
      <c r="K42">
        <v>5287</v>
      </c>
    </row>
    <row r="43" spans="1:11" x14ac:dyDescent="0.35">
      <c r="A43">
        <v>42</v>
      </c>
      <c r="B43" s="1">
        <v>44231</v>
      </c>
      <c r="C43" t="s">
        <v>22</v>
      </c>
      <c r="D43" t="s">
        <v>12</v>
      </c>
      <c r="E43">
        <v>544756</v>
      </c>
      <c r="F43">
        <v>432611</v>
      </c>
      <c r="G43">
        <v>120335</v>
      </c>
      <c r="H43">
        <v>4807</v>
      </c>
      <c r="I43">
        <v>71</v>
      </c>
      <c r="J43">
        <v>13</v>
      </c>
      <c r="K43">
        <v>6864</v>
      </c>
    </row>
    <row r="44" spans="1:11" x14ac:dyDescent="0.35">
      <c r="A44">
        <v>43</v>
      </c>
      <c r="B44" s="1">
        <v>44231</v>
      </c>
      <c r="C44" t="s">
        <v>23</v>
      </c>
      <c r="D44" t="s">
        <v>18</v>
      </c>
      <c r="E44">
        <v>374754</v>
      </c>
      <c r="F44">
        <v>1199300</v>
      </c>
      <c r="G44">
        <v>149279</v>
      </c>
      <c r="H44">
        <v>11993</v>
      </c>
      <c r="I44">
        <v>267</v>
      </c>
      <c r="J44">
        <v>38</v>
      </c>
      <c r="K44">
        <v>224542</v>
      </c>
    </row>
    <row r="45" spans="1:11" x14ac:dyDescent="0.35">
      <c r="A45">
        <v>44</v>
      </c>
      <c r="B45" s="1">
        <v>44231</v>
      </c>
      <c r="C45" t="s">
        <v>24</v>
      </c>
      <c r="D45" t="s">
        <v>25</v>
      </c>
      <c r="E45">
        <v>39889</v>
      </c>
      <c r="F45">
        <v>41924802</v>
      </c>
      <c r="G45">
        <v>177746</v>
      </c>
      <c r="H45">
        <v>16806</v>
      </c>
      <c r="I45">
        <v>336</v>
      </c>
      <c r="J45">
        <v>60</v>
      </c>
      <c r="K45">
        <v>204540</v>
      </c>
    </row>
    <row r="46" spans="1:11" x14ac:dyDescent="0.35">
      <c r="A46">
        <v>45</v>
      </c>
      <c r="B46" s="1">
        <v>44232</v>
      </c>
      <c r="C46" t="s">
        <v>11</v>
      </c>
      <c r="D46" t="s">
        <v>12</v>
      </c>
      <c r="E46">
        <v>349043</v>
      </c>
      <c r="F46">
        <v>3462883</v>
      </c>
      <c r="G46">
        <v>90691.7</v>
      </c>
      <c r="H46">
        <v>11997</v>
      </c>
      <c r="I46">
        <v>143</v>
      </c>
      <c r="J46">
        <v>17</v>
      </c>
      <c r="K46">
        <v>84677</v>
      </c>
    </row>
    <row r="47" spans="1:11" x14ac:dyDescent="0.35">
      <c r="A47">
        <v>46</v>
      </c>
      <c r="B47" s="1">
        <v>44232</v>
      </c>
      <c r="C47" t="s">
        <v>13</v>
      </c>
      <c r="D47" t="s">
        <v>12</v>
      </c>
      <c r="E47">
        <v>348934</v>
      </c>
      <c r="F47">
        <v>3299600</v>
      </c>
      <c r="G47">
        <v>261047</v>
      </c>
      <c r="H47">
        <v>16498</v>
      </c>
      <c r="I47">
        <v>330</v>
      </c>
      <c r="J47">
        <v>42</v>
      </c>
      <c r="K47">
        <v>209202</v>
      </c>
    </row>
    <row r="48" spans="1:11" x14ac:dyDescent="0.35">
      <c r="A48">
        <v>47</v>
      </c>
      <c r="B48" s="1">
        <v>44232</v>
      </c>
      <c r="C48" t="s">
        <v>14</v>
      </c>
      <c r="D48" t="s">
        <v>15</v>
      </c>
      <c r="E48">
        <v>89459845</v>
      </c>
      <c r="F48">
        <v>236719</v>
      </c>
      <c r="G48">
        <v>96930.6</v>
      </c>
      <c r="H48">
        <v>4504</v>
      </c>
      <c r="I48">
        <v>151</v>
      </c>
      <c r="J48">
        <v>23</v>
      </c>
      <c r="K48">
        <v>177882</v>
      </c>
    </row>
    <row r="49" spans="1:11" x14ac:dyDescent="0.35">
      <c r="A49">
        <v>48</v>
      </c>
      <c r="B49" s="1">
        <v>44232</v>
      </c>
      <c r="C49" t="s">
        <v>16</v>
      </c>
      <c r="D49" t="s">
        <v>15</v>
      </c>
      <c r="E49">
        <v>127823</v>
      </c>
      <c r="F49">
        <v>9914040</v>
      </c>
      <c r="G49">
        <v>56875.199999999997</v>
      </c>
      <c r="H49">
        <v>11993</v>
      </c>
      <c r="I49">
        <v>139</v>
      </c>
      <c r="J49">
        <v>14</v>
      </c>
      <c r="K49">
        <v>49644</v>
      </c>
    </row>
    <row r="50" spans="1:11" x14ac:dyDescent="0.35">
      <c r="A50">
        <v>49</v>
      </c>
      <c r="B50" s="1">
        <v>44232</v>
      </c>
      <c r="C50" t="s">
        <v>17</v>
      </c>
      <c r="D50" t="s">
        <v>18</v>
      </c>
      <c r="E50">
        <v>10934</v>
      </c>
      <c r="F50">
        <v>1965108</v>
      </c>
      <c r="G50">
        <v>442617</v>
      </c>
      <c r="H50">
        <v>22507</v>
      </c>
      <c r="I50">
        <v>731</v>
      </c>
      <c r="J50">
        <v>146</v>
      </c>
      <c r="K50">
        <v>1165230</v>
      </c>
    </row>
    <row r="51" spans="1:11" x14ac:dyDescent="0.35">
      <c r="A51">
        <v>50</v>
      </c>
      <c r="B51" s="1">
        <v>44232</v>
      </c>
      <c r="C51" t="s">
        <v>19</v>
      </c>
      <c r="D51" t="s">
        <v>12</v>
      </c>
      <c r="E51">
        <v>9034945</v>
      </c>
      <c r="F51">
        <v>7485780</v>
      </c>
      <c r="G51">
        <v>258306</v>
      </c>
      <c r="H51">
        <v>13498</v>
      </c>
      <c r="I51">
        <v>526</v>
      </c>
      <c r="J51">
        <v>76</v>
      </c>
      <c r="K51">
        <v>454556</v>
      </c>
    </row>
    <row r="52" spans="1:11" x14ac:dyDescent="0.35">
      <c r="A52">
        <v>51</v>
      </c>
      <c r="B52" s="1">
        <v>44232</v>
      </c>
      <c r="C52" t="s">
        <v>20</v>
      </c>
      <c r="D52" t="s">
        <v>12</v>
      </c>
      <c r="E52">
        <v>983498</v>
      </c>
      <c r="F52">
        <v>5100600</v>
      </c>
      <c r="G52">
        <v>13588.8</v>
      </c>
      <c r="H52">
        <v>25503</v>
      </c>
      <c r="I52">
        <v>765</v>
      </c>
      <c r="J52">
        <v>4</v>
      </c>
      <c r="K52">
        <v>7924</v>
      </c>
    </row>
    <row r="53" spans="1:11" x14ac:dyDescent="0.35">
      <c r="A53">
        <v>52</v>
      </c>
      <c r="B53" s="1">
        <v>44232</v>
      </c>
      <c r="C53" t="s">
        <v>21</v>
      </c>
      <c r="D53" t="s">
        <v>12</v>
      </c>
      <c r="E53">
        <v>4387490</v>
      </c>
      <c r="F53">
        <v>48954</v>
      </c>
      <c r="G53">
        <v>6790.74</v>
      </c>
      <c r="H53">
        <v>1505</v>
      </c>
      <c r="I53">
        <v>30</v>
      </c>
      <c r="J53">
        <v>5</v>
      </c>
      <c r="K53">
        <v>27060</v>
      </c>
    </row>
    <row r="54" spans="1:11" x14ac:dyDescent="0.35">
      <c r="A54">
        <v>53</v>
      </c>
      <c r="B54" s="1">
        <v>44232</v>
      </c>
      <c r="C54" t="s">
        <v>22</v>
      </c>
      <c r="D54" t="s">
        <v>12</v>
      </c>
      <c r="E54">
        <v>544756</v>
      </c>
      <c r="F54">
        <v>600400</v>
      </c>
      <c r="G54">
        <v>192789</v>
      </c>
      <c r="H54">
        <v>6004</v>
      </c>
      <c r="I54">
        <v>120</v>
      </c>
      <c r="J54">
        <v>21</v>
      </c>
      <c r="K54">
        <v>9492</v>
      </c>
    </row>
    <row r="55" spans="1:11" x14ac:dyDescent="0.35">
      <c r="A55">
        <v>54</v>
      </c>
      <c r="B55" s="1">
        <v>44232</v>
      </c>
      <c r="C55" t="s">
        <v>23</v>
      </c>
      <c r="D55" t="s">
        <v>18</v>
      </c>
      <c r="E55">
        <v>374754</v>
      </c>
      <c r="F55">
        <v>2153303</v>
      </c>
      <c r="G55">
        <v>36431.699999999997</v>
      </c>
      <c r="H55">
        <v>15003</v>
      </c>
      <c r="I55">
        <v>51</v>
      </c>
      <c r="J55">
        <v>8</v>
      </c>
      <c r="K55">
        <v>47816</v>
      </c>
    </row>
    <row r="56" spans="1:11" x14ac:dyDescent="0.35">
      <c r="A56">
        <v>55</v>
      </c>
      <c r="B56" s="1">
        <v>44232</v>
      </c>
      <c r="C56" t="s">
        <v>24</v>
      </c>
      <c r="D56" t="s">
        <v>25</v>
      </c>
      <c r="E56">
        <v>39889</v>
      </c>
      <c r="F56">
        <v>8238872</v>
      </c>
      <c r="G56">
        <v>427922</v>
      </c>
      <c r="H56">
        <v>20997</v>
      </c>
      <c r="I56">
        <v>796</v>
      </c>
      <c r="J56">
        <v>119</v>
      </c>
      <c r="K56">
        <v>471240</v>
      </c>
    </row>
    <row r="57" spans="1:11" x14ac:dyDescent="0.35">
      <c r="A57">
        <v>56</v>
      </c>
      <c r="B57" s="1">
        <v>44233</v>
      </c>
      <c r="C57" t="s">
        <v>11</v>
      </c>
      <c r="D57" t="s">
        <v>12</v>
      </c>
      <c r="E57">
        <v>349043</v>
      </c>
      <c r="F57">
        <v>310024</v>
      </c>
      <c r="G57">
        <v>40407.9</v>
      </c>
      <c r="H57">
        <v>2391</v>
      </c>
      <c r="I57">
        <v>76</v>
      </c>
      <c r="J57">
        <v>9</v>
      </c>
      <c r="K57">
        <v>46152</v>
      </c>
    </row>
    <row r="58" spans="1:11" x14ac:dyDescent="0.35">
      <c r="A58">
        <v>57</v>
      </c>
      <c r="B58" s="1">
        <v>44233</v>
      </c>
      <c r="C58" t="s">
        <v>13</v>
      </c>
      <c r="D58" t="s">
        <v>12</v>
      </c>
      <c r="E58">
        <v>348934</v>
      </c>
      <c r="F58">
        <v>448321</v>
      </c>
      <c r="G58">
        <v>62272.6</v>
      </c>
      <c r="H58">
        <v>3302</v>
      </c>
      <c r="I58">
        <v>108</v>
      </c>
      <c r="J58">
        <v>9</v>
      </c>
      <c r="K58">
        <v>44829</v>
      </c>
    </row>
    <row r="59" spans="1:11" x14ac:dyDescent="0.35">
      <c r="A59">
        <v>58</v>
      </c>
      <c r="B59" s="1">
        <v>44233</v>
      </c>
      <c r="C59" t="s">
        <v>14</v>
      </c>
      <c r="D59" t="s">
        <v>15</v>
      </c>
      <c r="E59">
        <v>89459845</v>
      </c>
      <c r="F59">
        <v>44950</v>
      </c>
      <c r="G59">
        <v>6768.87</v>
      </c>
      <c r="H59">
        <v>899</v>
      </c>
      <c r="I59">
        <v>13</v>
      </c>
      <c r="J59">
        <v>1</v>
      </c>
      <c r="K59">
        <v>8136</v>
      </c>
    </row>
    <row r="60" spans="1:11" x14ac:dyDescent="0.35">
      <c r="A60">
        <v>59</v>
      </c>
      <c r="B60" s="1">
        <v>44233</v>
      </c>
      <c r="C60" t="s">
        <v>16</v>
      </c>
      <c r="D60" t="s">
        <v>15</v>
      </c>
      <c r="E60">
        <v>127823</v>
      </c>
      <c r="F60">
        <v>478400</v>
      </c>
      <c r="G60">
        <v>22542</v>
      </c>
      <c r="H60">
        <v>2392</v>
      </c>
      <c r="I60">
        <v>48</v>
      </c>
      <c r="J60">
        <v>6</v>
      </c>
      <c r="K60">
        <v>13152</v>
      </c>
    </row>
    <row r="61" spans="1:11" x14ac:dyDescent="0.35">
      <c r="A61">
        <v>60</v>
      </c>
      <c r="B61" s="1">
        <v>44233</v>
      </c>
      <c r="C61" t="s">
        <v>17</v>
      </c>
      <c r="D61" t="s">
        <v>18</v>
      </c>
      <c r="E61">
        <v>10934</v>
      </c>
      <c r="F61">
        <v>472252</v>
      </c>
      <c r="G61">
        <v>80971.399999999994</v>
      </c>
      <c r="H61">
        <v>4508</v>
      </c>
      <c r="I61">
        <v>133</v>
      </c>
      <c r="J61">
        <v>27</v>
      </c>
      <c r="K61">
        <v>215487</v>
      </c>
    </row>
    <row r="62" spans="1:11" x14ac:dyDescent="0.35">
      <c r="A62">
        <v>61</v>
      </c>
      <c r="B62" s="1">
        <v>44233</v>
      </c>
      <c r="C62" t="s">
        <v>19</v>
      </c>
      <c r="D62" t="s">
        <v>12</v>
      </c>
      <c r="E62">
        <v>9034945</v>
      </c>
      <c r="F62">
        <v>425467</v>
      </c>
      <c r="G62">
        <v>3661.53</v>
      </c>
      <c r="H62">
        <v>2695</v>
      </c>
      <c r="I62">
        <v>14</v>
      </c>
      <c r="J62">
        <v>1</v>
      </c>
      <c r="K62">
        <v>5958</v>
      </c>
    </row>
    <row r="63" spans="1:11" x14ac:dyDescent="0.35">
      <c r="A63">
        <v>62</v>
      </c>
      <c r="B63" s="1">
        <v>44233</v>
      </c>
      <c r="C63" t="s">
        <v>20</v>
      </c>
      <c r="D63" t="s">
        <v>12</v>
      </c>
      <c r="E63">
        <v>983498</v>
      </c>
      <c r="F63">
        <v>1589341</v>
      </c>
      <c r="G63">
        <v>12183.4</v>
      </c>
      <c r="H63">
        <v>5092</v>
      </c>
      <c r="I63">
        <v>102</v>
      </c>
      <c r="J63">
        <v>5</v>
      </c>
      <c r="K63">
        <v>12295</v>
      </c>
    </row>
    <row r="64" spans="1:11" x14ac:dyDescent="0.35">
      <c r="A64">
        <v>63</v>
      </c>
      <c r="B64" s="1">
        <v>44233</v>
      </c>
      <c r="C64" t="s">
        <v>21</v>
      </c>
      <c r="D64" t="s">
        <v>12</v>
      </c>
      <c r="E64">
        <v>4387490</v>
      </c>
      <c r="F64">
        <v>10200</v>
      </c>
      <c r="G64">
        <v>1420.15</v>
      </c>
      <c r="H64">
        <v>306</v>
      </c>
      <c r="I64">
        <v>6</v>
      </c>
      <c r="J64">
        <v>1</v>
      </c>
      <c r="K64">
        <v>5492</v>
      </c>
    </row>
    <row r="65" spans="1:11" x14ac:dyDescent="0.35">
      <c r="A65">
        <v>64</v>
      </c>
      <c r="B65" s="1">
        <v>44233</v>
      </c>
      <c r="C65" t="s">
        <v>22</v>
      </c>
      <c r="D65" t="s">
        <v>12</v>
      </c>
      <c r="E65">
        <v>544756</v>
      </c>
      <c r="F65">
        <v>119700</v>
      </c>
      <c r="G65">
        <v>29281</v>
      </c>
      <c r="H65">
        <v>1197</v>
      </c>
      <c r="I65">
        <v>24</v>
      </c>
      <c r="J65">
        <v>4</v>
      </c>
      <c r="K65">
        <v>6428</v>
      </c>
    </row>
    <row r="66" spans="1:11" x14ac:dyDescent="0.35">
      <c r="A66">
        <v>65</v>
      </c>
      <c r="B66" s="1">
        <v>44233</v>
      </c>
      <c r="C66" t="s">
        <v>23</v>
      </c>
      <c r="D66" t="s">
        <v>18</v>
      </c>
      <c r="E66">
        <v>374754</v>
      </c>
      <c r="F66">
        <v>300700</v>
      </c>
      <c r="G66">
        <v>8289.2099999999991</v>
      </c>
      <c r="H66">
        <v>3007</v>
      </c>
      <c r="I66">
        <v>20</v>
      </c>
      <c r="J66">
        <v>2</v>
      </c>
      <c r="K66">
        <v>9450</v>
      </c>
    </row>
    <row r="67" spans="1:11" x14ac:dyDescent="0.35">
      <c r="A67">
        <v>66</v>
      </c>
      <c r="B67" s="1">
        <v>44233</v>
      </c>
      <c r="C67" t="s">
        <v>24</v>
      </c>
      <c r="D67" t="s">
        <v>25</v>
      </c>
      <c r="E67">
        <v>39889</v>
      </c>
      <c r="F67">
        <v>42070000</v>
      </c>
      <c r="G67">
        <v>38185.199999999997</v>
      </c>
      <c r="H67">
        <v>4207</v>
      </c>
      <c r="I67">
        <v>84</v>
      </c>
      <c r="J67">
        <v>10</v>
      </c>
      <c r="K67">
        <v>48820</v>
      </c>
    </row>
    <row r="68" spans="1:11" x14ac:dyDescent="0.35">
      <c r="A68">
        <v>67</v>
      </c>
      <c r="B68" s="1">
        <v>44234</v>
      </c>
      <c r="C68" t="s">
        <v>11</v>
      </c>
      <c r="D68" t="s">
        <v>12</v>
      </c>
      <c r="E68">
        <v>349043</v>
      </c>
      <c r="F68">
        <v>478000</v>
      </c>
      <c r="G68">
        <v>27314.400000000001</v>
      </c>
      <c r="H68">
        <v>2390</v>
      </c>
      <c r="I68">
        <v>45</v>
      </c>
      <c r="J68">
        <v>5</v>
      </c>
      <c r="K68">
        <v>24905</v>
      </c>
    </row>
    <row r="69" spans="1:11" x14ac:dyDescent="0.35">
      <c r="A69">
        <v>68</v>
      </c>
      <c r="B69" s="1">
        <v>44234</v>
      </c>
      <c r="C69" t="s">
        <v>13</v>
      </c>
      <c r="D69" t="s">
        <v>12</v>
      </c>
      <c r="E69">
        <v>348934</v>
      </c>
      <c r="F69">
        <v>659000</v>
      </c>
      <c r="G69">
        <v>38485.599999999999</v>
      </c>
      <c r="H69">
        <v>3295</v>
      </c>
      <c r="I69">
        <v>66</v>
      </c>
      <c r="J69">
        <v>5</v>
      </c>
      <c r="K69">
        <v>23735</v>
      </c>
    </row>
    <row r="70" spans="1:11" x14ac:dyDescent="0.35">
      <c r="A70">
        <v>69</v>
      </c>
      <c r="B70" s="1">
        <v>44234</v>
      </c>
      <c r="C70" t="s">
        <v>14</v>
      </c>
      <c r="D70" t="s">
        <v>15</v>
      </c>
      <c r="E70">
        <v>89459845</v>
      </c>
      <c r="F70">
        <v>44650</v>
      </c>
      <c r="G70">
        <v>6426</v>
      </c>
      <c r="H70">
        <v>893</v>
      </c>
      <c r="I70">
        <v>18</v>
      </c>
      <c r="J70">
        <v>2</v>
      </c>
      <c r="K70">
        <v>14152</v>
      </c>
    </row>
    <row r="71" spans="1:11" x14ac:dyDescent="0.35">
      <c r="A71">
        <v>70</v>
      </c>
      <c r="B71" s="1">
        <v>44234</v>
      </c>
      <c r="C71" t="s">
        <v>16</v>
      </c>
      <c r="D71" t="s">
        <v>15</v>
      </c>
      <c r="E71">
        <v>127823</v>
      </c>
      <c r="F71">
        <v>1137473</v>
      </c>
      <c r="G71">
        <v>18102.099999999999</v>
      </c>
      <c r="H71">
        <v>2404</v>
      </c>
      <c r="I71">
        <v>48</v>
      </c>
      <c r="J71">
        <v>5</v>
      </c>
      <c r="K71">
        <v>17845</v>
      </c>
    </row>
    <row r="72" spans="1:11" x14ac:dyDescent="0.35">
      <c r="A72">
        <v>71</v>
      </c>
      <c r="B72" s="1">
        <v>44234</v>
      </c>
      <c r="C72" t="s">
        <v>17</v>
      </c>
      <c r="D72" t="s">
        <v>18</v>
      </c>
      <c r="E72">
        <v>10934</v>
      </c>
      <c r="F72">
        <v>694624</v>
      </c>
      <c r="G72">
        <v>31680.1</v>
      </c>
      <c r="H72">
        <v>4505</v>
      </c>
      <c r="I72">
        <v>82</v>
      </c>
      <c r="J72">
        <v>15</v>
      </c>
      <c r="K72">
        <v>119715</v>
      </c>
    </row>
    <row r="73" spans="1:11" x14ac:dyDescent="0.35">
      <c r="A73">
        <v>72</v>
      </c>
      <c r="B73" s="1">
        <v>44234</v>
      </c>
      <c r="C73" t="s">
        <v>19</v>
      </c>
      <c r="D73" t="s">
        <v>12</v>
      </c>
      <c r="E73">
        <v>9034945</v>
      </c>
      <c r="F73">
        <v>1246126</v>
      </c>
      <c r="G73">
        <v>37965.9</v>
      </c>
      <c r="H73">
        <v>2696</v>
      </c>
      <c r="I73">
        <v>100</v>
      </c>
      <c r="J73">
        <v>11</v>
      </c>
      <c r="K73">
        <v>65791</v>
      </c>
    </row>
    <row r="74" spans="1:11" x14ac:dyDescent="0.35">
      <c r="A74">
        <v>73</v>
      </c>
      <c r="B74" s="1">
        <v>44234</v>
      </c>
      <c r="C74" t="s">
        <v>20</v>
      </c>
      <c r="D74" t="s">
        <v>12</v>
      </c>
      <c r="E74">
        <v>983498</v>
      </c>
      <c r="F74">
        <v>567096</v>
      </c>
      <c r="G74">
        <v>6747.94</v>
      </c>
      <c r="H74">
        <v>5103</v>
      </c>
      <c r="I74">
        <v>199</v>
      </c>
      <c r="J74">
        <v>2</v>
      </c>
      <c r="K74">
        <v>3962</v>
      </c>
    </row>
    <row r="75" spans="1:11" x14ac:dyDescent="0.35">
      <c r="A75">
        <v>74</v>
      </c>
      <c r="B75" s="1">
        <v>44234</v>
      </c>
      <c r="C75" t="s">
        <v>21</v>
      </c>
      <c r="D75" t="s">
        <v>12</v>
      </c>
      <c r="E75">
        <v>4387490</v>
      </c>
      <c r="F75">
        <v>9938</v>
      </c>
      <c r="G75">
        <v>3435.44</v>
      </c>
      <c r="H75">
        <v>294</v>
      </c>
      <c r="I75">
        <v>6</v>
      </c>
      <c r="J75">
        <v>1</v>
      </c>
      <c r="K75">
        <v>4981</v>
      </c>
    </row>
    <row r="76" spans="1:11" x14ac:dyDescent="0.35">
      <c r="A76">
        <v>75</v>
      </c>
      <c r="B76" s="1">
        <v>44234</v>
      </c>
      <c r="C76" t="s">
        <v>22</v>
      </c>
      <c r="D76" t="s">
        <v>12</v>
      </c>
      <c r="E76">
        <v>544756</v>
      </c>
      <c r="F76">
        <v>174221</v>
      </c>
      <c r="G76">
        <v>10104.9</v>
      </c>
      <c r="H76">
        <v>1197</v>
      </c>
      <c r="I76">
        <v>6</v>
      </c>
      <c r="J76">
        <v>1</v>
      </c>
      <c r="K76">
        <v>981</v>
      </c>
    </row>
    <row r="77" spans="1:11" x14ac:dyDescent="0.35">
      <c r="A77">
        <v>76</v>
      </c>
      <c r="B77" s="1">
        <v>44234</v>
      </c>
      <c r="C77" t="s">
        <v>23</v>
      </c>
      <c r="D77" t="s">
        <v>18</v>
      </c>
      <c r="E77">
        <v>374754</v>
      </c>
      <c r="F77">
        <v>300700</v>
      </c>
      <c r="G77">
        <v>46167.6</v>
      </c>
      <c r="H77">
        <v>3007</v>
      </c>
      <c r="I77">
        <v>93</v>
      </c>
      <c r="J77">
        <v>12</v>
      </c>
      <c r="K77">
        <v>68076</v>
      </c>
    </row>
    <row r="78" spans="1:11" x14ac:dyDescent="0.35">
      <c r="A78">
        <v>77</v>
      </c>
      <c r="B78" s="1">
        <v>44234</v>
      </c>
      <c r="C78" t="s">
        <v>24</v>
      </c>
      <c r="D78" t="s">
        <v>25</v>
      </c>
      <c r="E78">
        <v>39889</v>
      </c>
      <c r="F78">
        <v>3957603</v>
      </c>
      <c r="G78">
        <v>79987.7</v>
      </c>
      <c r="H78">
        <v>4203</v>
      </c>
      <c r="I78">
        <v>142</v>
      </c>
      <c r="J78">
        <v>27</v>
      </c>
      <c r="K78">
        <v>90504</v>
      </c>
    </row>
    <row r="79" spans="1:11" x14ac:dyDescent="0.35">
      <c r="A79">
        <v>78</v>
      </c>
      <c r="B79" s="1">
        <v>44235</v>
      </c>
      <c r="C79" t="s">
        <v>11</v>
      </c>
      <c r="D79" t="s">
        <v>12</v>
      </c>
      <c r="E79">
        <v>349043</v>
      </c>
      <c r="F79">
        <v>479000</v>
      </c>
      <c r="G79">
        <v>27210.400000000001</v>
      </c>
      <c r="H79">
        <v>2395</v>
      </c>
      <c r="I79">
        <v>36</v>
      </c>
      <c r="J79">
        <v>5</v>
      </c>
      <c r="K79">
        <v>22345</v>
      </c>
    </row>
    <row r="80" spans="1:11" x14ac:dyDescent="0.35">
      <c r="A80">
        <v>79</v>
      </c>
      <c r="B80" s="1">
        <v>44235</v>
      </c>
      <c r="C80" t="s">
        <v>13</v>
      </c>
      <c r="D80" t="s">
        <v>12</v>
      </c>
      <c r="E80">
        <v>348934</v>
      </c>
      <c r="F80">
        <v>472656</v>
      </c>
      <c r="G80">
        <v>33752.800000000003</v>
      </c>
      <c r="H80">
        <v>3290</v>
      </c>
      <c r="I80">
        <v>66</v>
      </c>
      <c r="J80">
        <v>5</v>
      </c>
      <c r="K80">
        <v>28670</v>
      </c>
    </row>
    <row r="81" spans="1:11" x14ac:dyDescent="0.35">
      <c r="A81">
        <v>80</v>
      </c>
      <c r="B81" s="1">
        <v>44235</v>
      </c>
      <c r="C81" t="s">
        <v>14</v>
      </c>
      <c r="D81" t="s">
        <v>15</v>
      </c>
      <c r="E81">
        <v>89459845</v>
      </c>
      <c r="F81">
        <v>51350</v>
      </c>
      <c r="G81">
        <v>6918.85</v>
      </c>
      <c r="H81">
        <v>904</v>
      </c>
      <c r="I81">
        <v>20</v>
      </c>
      <c r="J81">
        <v>2</v>
      </c>
      <c r="K81">
        <v>16240</v>
      </c>
    </row>
    <row r="82" spans="1:11" x14ac:dyDescent="0.35">
      <c r="A82">
        <v>81</v>
      </c>
      <c r="B82" s="1">
        <v>44235</v>
      </c>
      <c r="C82" t="s">
        <v>16</v>
      </c>
      <c r="D82" t="s">
        <v>15</v>
      </c>
      <c r="E82">
        <v>127823</v>
      </c>
      <c r="F82">
        <v>478000</v>
      </c>
      <c r="G82">
        <v>16567.5</v>
      </c>
      <c r="H82">
        <v>2390</v>
      </c>
      <c r="I82">
        <v>48</v>
      </c>
      <c r="J82">
        <v>5</v>
      </c>
      <c r="K82">
        <v>16995</v>
      </c>
    </row>
    <row r="83" spans="1:11" x14ac:dyDescent="0.35">
      <c r="A83">
        <v>82</v>
      </c>
      <c r="B83" s="1">
        <v>44235</v>
      </c>
      <c r="C83" t="s">
        <v>17</v>
      </c>
      <c r="D83" t="s">
        <v>18</v>
      </c>
      <c r="E83">
        <v>10934</v>
      </c>
      <c r="F83">
        <v>685530</v>
      </c>
      <c r="G83">
        <v>33892.6</v>
      </c>
      <c r="H83">
        <v>4491</v>
      </c>
      <c r="I83">
        <v>79</v>
      </c>
      <c r="J83">
        <v>16</v>
      </c>
      <c r="K83">
        <v>120176</v>
      </c>
    </row>
    <row r="84" spans="1:11" x14ac:dyDescent="0.35">
      <c r="A84">
        <v>83</v>
      </c>
      <c r="B84" s="1">
        <v>44235</v>
      </c>
      <c r="C84" t="s">
        <v>19</v>
      </c>
      <c r="D84" t="s">
        <v>12</v>
      </c>
      <c r="E84">
        <v>9034945</v>
      </c>
      <c r="F84">
        <v>472836</v>
      </c>
      <c r="G84">
        <v>330.76</v>
      </c>
      <c r="H84">
        <v>2690</v>
      </c>
      <c r="I84">
        <v>1</v>
      </c>
      <c r="J84">
        <v>0</v>
      </c>
      <c r="K84">
        <v>0</v>
      </c>
    </row>
    <row r="85" spans="1:11" x14ac:dyDescent="0.35">
      <c r="A85">
        <v>84</v>
      </c>
      <c r="B85" s="1">
        <v>44235</v>
      </c>
      <c r="C85" t="s">
        <v>20</v>
      </c>
      <c r="D85" t="s">
        <v>12</v>
      </c>
      <c r="E85">
        <v>983498</v>
      </c>
      <c r="F85">
        <v>1020000</v>
      </c>
      <c r="G85">
        <v>2057.3000000000002</v>
      </c>
      <c r="H85">
        <v>5100</v>
      </c>
      <c r="I85">
        <v>102</v>
      </c>
      <c r="J85">
        <v>1</v>
      </c>
      <c r="K85">
        <v>1981</v>
      </c>
    </row>
    <row r="86" spans="1:11" x14ac:dyDescent="0.35">
      <c r="A86">
        <v>85</v>
      </c>
      <c r="B86" s="1">
        <v>44235</v>
      </c>
      <c r="C86" t="s">
        <v>21</v>
      </c>
      <c r="D86" t="s">
        <v>12</v>
      </c>
      <c r="E86">
        <v>4387490</v>
      </c>
      <c r="F86">
        <v>10067</v>
      </c>
      <c r="G86">
        <v>4336.04</v>
      </c>
      <c r="H86">
        <v>302</v>
      </c>
      <c r="I86">
        <v>10</v>
      </c>
      <c r="J86">
        <v>2</v>
      </c>
      <c r="K86">
        <v>10036</v>
      </c>
    </row>
    <row r="87" spans="1:11" x14ac:dyDescent="0.35">
      <c r="A87">
        <v>86</v>
      </c>
      <c r="B87" s="1">
        <v>44235</v>
      </c>
      <c r="C87" t="s">
        <v>22</v>
      </c>
      <c r="D87" t="s">
        <v>12</v>
      </c>
      <c r="E87">
        <v>544756</v>
      </c>
      <c r="F87">
        <v>120200</v>
      </c>
      <c r="G87">
        <v>40099</v>
      </c>
      <c r="H87">
        <v>1202</v>
      </c>
      <c r="I87">
        <v>24</v>
      </c>
      <c r="J87">
        <v>5</v>
      </c>
      <c r="K87">
        <v>4905</v>
      </c>
    </row>
    <row r="88" spans="1:11" x14ac:dyDescent="0.35">
      <c r="A88">
        <v>87</v>
      </c>
      <c r="B88" s="1">
        <v>44235</v>
      </c>
      <c r="C88" t="s">
        <v>23</v>
      </c>
      <c r="D88" t="s">
        <v>18</v>
      </c>
      <c r="E88">
        <v>374754</v>
      </c>
      <c r="F88">
        <v>361650</v>
      </c>
      <c r="G88">
        <v>31154.3</v>
      </c>
      <c r="H88">
        <v>2991</v>
      </c>
      <c r="I88">
        <v>60</v>
      </c>
      <c r="J88">
        <v>9</v>
      </c>
      <c r="K88">
        <v>45027</v>
      </c>
    </row>
    <row r="89" spans="1:11" x14ac:dyDescent="0.35">
      <c r="A89">
        <v>88</v>
      </c>
      <c r="B89" s="1">
        <v>44235</v>
      </c>
      <c r="C89" t="s">
        <v>24</v>
      </c>
      <c r="D89" t="s">
        <v>25</v>
      </c>
      <c r="E89">
        <v>39889</v>
      </c>
      <c r="F89">
        <v>2233790</v>
      </c>
      <c r="G89">
        <v>31883.9</v>
      </c>
      <c r="H89">
        <v>4197</v>
      </c>
      <c r="I89">
        <v>84</v>
      </c>
      <c r="J89">
        <v>10</v>
      </c>
      <c r="K89">
        <v>42280</v>
      </c>
    </row>
    <row r="90" spans="1:11" x14ac:dyDescent="0.35">
      <c r="A90">
        <v>89</v>
      </c>
      <c r="B90" s="1">
        <v>44236</v>
      </c>
      <c r="C90" t="s">
        <v>11</v>
      </c>
      <c r="D90" t="s">
        <v>12</v>
      </c>
      <c r="E90">
        <v>349043</v>
      </c>
      <c r="F90">
        <v>478600</v>
      </c>
      <c r="G90">
        <v>49036.5</v>
      </c>
      <c r="H90">
        <v>2393</v>
      </c>
      <c r="I90">
        <v>68</v>
      </c>
      <c r="J90">
        <v>9</v>
      </c>
      <c r="K90">
        <v>42813</v>
      </c>
    </row>
    <row r="91" spans="1:11" x14ac:dyDescent="0.35">
      <c r="A91">
        <v>90</v>
      </c>
      <c r="B91" s="1">
        <v>44236</v>
      </c>
      <c r="C91" t="s">
        <v>13</v>
      </c>
      <c r="D91" t="s">
        <v>12</v>
      </c>
      <c r="E91">
        <v>348934</v>
      </c>
      <c r="F91">
        <v>555116</v>
      </c>
      <c r="G91">
        <v>62119.4</v>
      </c>
      <c r="H91">
        <v>3303</v>
      </c>
      <c r="I91">
        <v>96</v>
      </c>
      <c r="J91">
        <v>11</v>
      </c>
      <c r="K91">
        <v>54791</v>
      </c>
    </row>
    <row r="92" spans="1:11" x14ac:dyDescent="0.35">
      <c r="A92">
        <v>91</v>
      </c>
      <c r="B92" s="1">
        <v>44236</v>
      </c>
      <c r="C92" t="s">
        <v>14</v>
      </c>
      <c r="D92" t="s">
        <v>15</v>
      </c>
      <c r="E92">
        <v>89459845</v>
      </c>
      <c r="F92">
        <v>44900</v>
      </c>
      <c r="G92">
        <v>3095.21</v>
      </c>
      <c r="H92">
        <v>898</v>
      </c>
      <c r="I92">
        <v>5</v>
      </c>
      <c r="J92">
        <v>1</v>
      </c>
      <c r="K92">
        <v>7998</v>
      </c>
    </row>
    <row r="93" spans="1:11" x14ac:dyDescent="0.35">
      <c r="A93">
        <v>92</v>
      </c>
      <c r="B93" s="1">
        <v>44236</v>
      </c>
      <c r="C93" t="s">
        <v>16</v>
      </c>
      <c r="D93" t="s">
        <v>15</v>
      </c>
      <c r="E93">
        <v>127823</v>
      </c>
      <c r="F93">
        <v>478600</v>
      </c>
      <c r="G93">
        <v>20299.3</v>
      </c>
      <c r="H93">
        <v>2393</v>
      </c>
      <c r="I93">
        <v>48</v>
      </c>
      <c r="J93">
        <v>5</v>
      </c>
      <c r="K93">
        <v>14905</v>
      </c>
    </row>
    <row r="94" spans="1:11" x14ac:dyDescent="0.35">
      <c r="A94">
        <v>93</v>
      </c>
      <c r="B94" s="1">
        <v>44236</v>
      </c>
      <c r="C94" t="s">
        <v>17</v>
      </c>
      <c r="D94" t="s">
        <v>18</v>
      </c>
      <c r="E94">
        <v>10934</v>
      </c>
      <c r="F94">
        <v>491821</v>
      </c>
      <c r="G94">
        <v>27833</v>
      </c>
      <c r="H94">
        <v>4495</v>
      </c>
      <c r="I94">
        <v>90</v>
      </c>
      <c r="J94">
        <v>18</v>
      </c>
      <c r="K94">
        <v>143658</v>
      </c>
    </row>
    <row r="95" spans="1:11" x14ac:dyDescent="0.35">
      <c r="A95">
        <v>94</v>
      </c>
      <c r="B95" s="1">
        <v>44236</v>
      </c>
      <c r="C95" t="s">
        <v>19</v>
      </c>
      <c r="D95" t="s">
        <v>12</v>
      </c>
      <c r="E95">
        <v>9034945</v>
      </c>
      <c r="F95">
        <v>759532</v>
      </c>
      <c r="G95">
        <v>10317</v>
      </c>
      <c r="H95">
        <v>2701</v>
      </c>
      <c r="I95">
        <v>19</v>
      </c>
      <c r="J95">
        <v>3</v>
      </c>
      <c r="K95">
        <v>19800</v>
      </c>
    </row>
    <row r="96" spans="1:11" x14ac:dyDescent="0.35">
      <c r="A96">
        <v>95</v>
      </c>
      <c r="B96" s="1">
        <v>44236</v>
      </c>
      <c r="C96" t="s">
        <v>20</v>
      </c>
      <c r="D96" t="s">
        <v>12</v>
      </c>
      <c r="E96">
        <v>983498</v>
      </c>
      <c r="F96">
        <v>1022000</v>
      </c>
      <c r="G96">
        <v>7398.26</v>
      </c>
      <c r="H96">
        <v>5110</v>
      </c>
      <c r="I96">
        <v>102</v>
      </c>
      <c r="J96">
        <v>3</v>
      </c>
      <c r="K96">
        <v>5943</v>
      </c>
    </row>
    <row r="97" spans="1:11" x14ac:dyDescent="0.35">
      <c r="A97">
        <v>96</v>
      </c>
      <c r="B97" s="1">
        <v>44236</v>
      </c>
      <c r="C97" t="s">
        <v>21</v>
      </c>
      <c r="D97" t="s">
        <v>12</v>
      </c>
      <c r="E97">
        <v>4387490</v>
      </c>
      <c r="F97">
        <v>9721</v>
      </c>
      <c r="G97">
        <v>2152.37</v>
      </c>
      <c r="H97">
        <v>290</v>
      </c>
      <c r="I97">
        <v>6</v>
      </c>
      <c r="J97">
        <v>1</v>
      </c>
      <c r="K97">
        <v>4353</v>
      </c>
    </row>
    <row r="98" spans="1:11" x14ac:dyDescent="0.35">
      <c r="A98">
        <v>97</v>
      </c>
      <c r="B98" s="1">
        <v>44236</v>
      </c>
      <c r="C98" t="s">
        <v>22</v>
      </c>
      <c r="D98" t="s">
        <v>12</v>
      </c>
      <c r="E98">
        <v>544756</v>
      </c>
      <c r="F98">
        <v>189854</v>
      </c>
      <c r="G98">
        <v>29091.4</v>
      </c>
      <c r="H98">
        <v>1198</v>
      </c>
      <c r="I98">
        <v>24</v>
      </c>
      <c r="J98">
        <v>3</v>
      </c>
      <c r="K98">
        <v>2943</v>
      </c>
    </row>
    <row r="99" spans="1:11" x14ac:dyDescent="0.35">
      <c r="A99">
        <v>98</v>
      </c>
      <c r="B99" s="1">
        <v>44236</v>
      </c>
      <c r="C99" t="s">
        <v>23</v>
      </c>
      <c r="D99" t="s">
        <v>18</v>
      </c>
      <c r="E99">
        <v>374754</v>
      </c>
      <c r="F99">
        <v>346068</v>
      </c>
      <c r="G99">
        <v>57642.400000000001</v>
      </c>
      <c r="H99">
        <v>3006</v>
      </c>
      <c r="I99">
        <v>99</v>
      </c>
      <c r="J99">
        <v>15</v>
      </c>
      <c r="K99">
        <v>89460</v>
      </c>
    </row>
    <row r="100" spans="1:11" x14ac:dyDescent="0.35">
      <c r="A100">
        <v>99</v>
      </c>
      <c r="B100" s="1">
        <v>44236</v>
      </c>
      <c r="C100" t="s">
        <v>24</v>
      </c>
      <c r="D100" t="s">
        <v>25</v>
      </c>
      <c r="E100">
        <v>39889</v>
      </c>
      <c r="F100">
        <v>3736884</v>
      </c>
      <c r="G100">
        <v>44731.7</v>
      </c>
      <c r="H100">
        <v>4190</v>
      </c>
      <c r="I100">
        <v>84</v>
      </c>
      <c r="J100">
        <v>13</v>
      </c>
      <c r="K100">
        <v>51259</v>
      </c>
    </row>
    <row r="101" spans="1:11" x14ac:dyDescent="0.35">
      <c r="A101">
        <v>100</v>
      </c>
      <c r="B101" s="1">
        <v>44237</v>
      </c>
      <c r="C101" t="s">
        <v>11</v>
      </c>
      <c r="D101" t="s">
        <v>12</v>
      </c>
      <c r="E101">
        <v>349043</v>
      </c>
      <c r="F101">
        <v>961800</v>
      </c>
      <c r="G101">
        <v>43386.400000000001</v>
      </c>
      <c r="H101">
        <v>4809</v>
      </c>
      <c r="I101">
        <v>96</v>
      </c>
      <c r="J101">
        <v>8</v>
      </c>
      <c r="K101">
        <v>42400</v>
      </c>
    </row>
    <row r="102" spans="1:11" x14ac:dyDescent="0.35">
      <c r="A102">
        <v>101</v>
      </c>
      <c r="B102" s="1">
        <v>44237</v>
      </c>
      <c r="C102" t="s">
        <v>13</v>
      </c>
      <c r="D102" t="s">
        <v>12</v>
      </c>
      <c r="E102">
        <v>348934</v>
      </c>
      <c r="F102">
        <v>852250</v>
      </c>
      <c r="G102">
        <v>43865.9</v>
      </c>
      <c r="H102">
        <v>6596</v>
      </c>
      <c r="I102">
        <v>132</v>
      </c>
      <c r="J102">
        <v>7</v>
      </c>
      <c r="K102">
        <v>34867</v>
      </c>
    </row>
    <row r="103" spans="1:11" x14ac:dyDescent="0.35">
      <c r="A103">
        <v>102</v>
      </c>
      <c r="B103" s="1">
        <v>44237</v>
      </c>
      <c r="C103" t="s">
        <v>14</v>
      </c>
      <c r="D103" t="s">
        <v>15</v>
      </c>
      <c r="E103">
        <v>89459845</v>
      </c>
      <c r="F103">
        <v>108748</v>
      </c>
      <c r="G103">
        <v>51883.1</v>
      </c>
      <c r="H103">
        <v>1797</v>
      </c>
      <c r="I103">
        <v>57</v>
      </c>
      <c r="J103">
        <v>11</v>
      </c>
      <c r="K103">
        <v>86724</v>
      </c>
    </row>
    <row r="104" spans="1:11" x14ac:dyDescent="0.35">
      <c r="A104">
        <v>103</v>
      </c>
      <c r="B104" s="1">
        <v>44237</v>
      </c>
      <c r="C104" t="s">
        <v>16</v>
      </c>
      <c r="D104" t="s">
        <v>15</v>
      </c>
      <c r="E104">
        <v>127823</v>
      </c>
      <c r="F104">
        <v>797238</v>
      </c>
      <c r="G104">
        <v>67577.8</v>
      </c>
      <c r="H104">
        <v>4797</v>
      </c>
      <c r="I104">
        <v>154</v>
      </c>
      <c r="J104">
        <v>19</v>
      </c>
      <c r="K104">
        <v>42598</v>
      </c>
    </row>
    <row r="105" spans="1:11" x14ac:dyDescent="0.35">
      <c r="A105">
        <v>104</v>
      </c>
      <c r="B105" s="1">
        <v>44237</v>
      </c>
      <c r="C105" t="s">
        <v>17</v>
      </c>
      <c r="D105" t="s">
        <v>18</v>
      </c>
      <c r="E105">
        <v>10934</v>
      </c>
      <c r="F105">
        <v>1469962</v>
      </c>
      <c r="G105">
        <v>19831.400000000001</v>
      </c>
      <c r="H105">
        <v>8998</v>
      </c>
      <c r="I105">
        <v>80</v>
      </c>
      <c r="J105">
        <v>16</v>
      </c>
      <c r="K105">
        <v>130768</v>
      </c>
    </row>
    <row r="106" spans="1:11" x14ac:dyDescent="0.35">
      <c r="A106">
        <v>105</v>
      </c>
      <c r="B106" s="1">
        <v>44237</v>
      </c>
      <c r="C106" t="s">
        <v>19</v>
      </c>
      <c r="D106" t="s">
        <v>12</v>
      </c>
      <c r="E106">
        <v>9034945</v>
      </c>
      <c r="F106">
        <v>3858193</v>
      </c>
      <c r="G106">
        <v>38890.300000000003</v>
      </c>
      <c r="H106">
        <v>5406</v>
      </c>
      <c r="I106">
        <v>186</v>
      </c>
      <c r="J106">
        <v>14</v>
      </c>
      <c r="K106">
        <v>83734</v>
      </c>
    </row>
    <row r="107" spans="1:11" x14ac:dyDescent="0.35">
      <c r="A107">
        <v>106</v>
      </c>
      <c r="B107" s="1">
        <v>44237</v>
      </c>
      <c r="C107" t="s">
        <v>20</v>
      </c>
      <c r="D107" t="s">
        <v>12</v>
      </c>
      <c r="E107">
        <v>983498</v>
      </c>
      <c r="F107">
        <v>2040000</v>
      </c>
      <c r="G107">
        <v>14147.9</v>
      </c>
      <c r="H107">
        <v>10200</v>
      </c>
      <c r="I107">
        <v>395</v>
      </c>
      <c r="J107">
        <v>4</v>
      </c>
      <c r="K107">
        <v>7924</v>
      </c>
    </row>
    <row r="108" spans="1:11" x14ac:dyDescent="0.35">
      <c r="A108">
        <v>107</v>
      </c>
      <c r="B108" s="1">
        <v>44237</v>
      </c>
      <c r="C108" t="s">
        <v>21</v>
      </c>
      <c r="D108" t="s">
        <v>12</v>
      </c>
      <c r="E108">
        <v>4387490</v>
      </c>
      <c r="F108">
        <v>18399</v>
      </c>
      <c r="G108">
        <v>12713</v>
      </c>
      <c r="H108">
        <v>599</v>
      </c>
      <c r="I108">
        <v>22</v>
      </c>
      <c r="J108">
        <v>5</v>
      </c>
      <c r="K108">
        <v>27065</v>
      </c>
    </row>
    <row r="109" spans="1:11" x14ac:dyDescent="0.35">
      <c r="A109">
        <v>108</v>
      </c>
      <c r="B109" s="1">
        <v>44237</v>
      </c>
      <c r="C109" t="s">
        <v>22</v>
      </c>
      <c r="D109" t="s">
        <v>12</v>
      </c>
      <c r="E109">
        <v>544756</v>
      </c>
      <c r="F109">
        <v>321713</v>
      </c>
      <c r="G109">
        <v>131236</v>
      </c>
      <c r="H109">
        <v>2396</v>
      </c>
      <c r="I109">
        <v>88</v>
      </c>
      <c r="J109">
        <v>15</v>
      </c>
      <c r="K109">
        <v>14715</v>
      </c>
    </row>
    <row r="110" spans="1:11" x14ac:dyDescent="0.35">
      <c r="A110">
        <v>109</v>
      </c>
      <c r="B110" s="1">
        <v>44237</v>
      </c>
      <c r="C110" t="s">
        <v>23</v>
      </c>
      <c r="D110" t="s">
        <v>18</v>
      </c>
      <c r="E110">
        <v>374754</v>
      </c>
      <c r="F110">
        <v>489728</v>
      </c>
      <c r="G110">
        <v>126901</v>
      </c>
      <c r="H110">
        <v>6005</v>
      </c>
      <c r="I110">
        <v>187</v>
      </c>
      <c r="J110">
        <v>34</v>
      </c>
      <c r="K110">
        <v>143888</v>
      </c>
    </row>
    <row r="111" spans="1:11" x14ac:dyDescent="0.35">
      <c r="A111">
        <v>110</v>
      </c>
      <c r="B111" s="1">
        <v>44237</v>
      </c>
      <c r="C111" t="s">
        <v>24</v>
      </c>
      <c r="D111" t="s">
        <v>25</v>
      </c>
      <c r="E111">
        <v>39889</v>
      </c>
      <c r="F111">
        <v>5219501</v>
      </c>
      <c r="G111">
        <v>179519</v>
      </c>
      <c r="H111">
        <v>8391</v>
      </c>
      <c r="I111">
        <v>302</v>
      </c>
      <c r="J111">
        <v>60</v>
      </c>
      <c r="K111">
        <v>196680</v>
      </c>
    </row>
    <row r="112" spans="1:11" x14ac:dyDescent="0.35">
      <c r="A112">
        <v>111</v>
      </c>
      <c r="B112" s="1">
        <v>44238</v>
      </c>
      <c r="C112" t="s">
        <v>11</v>
      </c>
      <c r="D112" t="s">
        <v>12</v>
      </c>
      <c r="E112">
        <v>349043</v>
      </c>
      <c r="F112">
        <v>1061233</v>
      </c>
      <c r="G112">
        <v>105681</v>
      </c>
      <c r="H112">
        <v>7206</v>
      </c>
      <c r="I112">
        <v>144</v>
      </c>
      <c r="J112">
        <v>23</v>
      </c>
      <c r="K112">
        <v>105225</v>
      </c>
    </row>
    <row r="113" spans="1:11" x14ac:dyDescent="0.35">
      <c r="A113">
        <v>112</v>
      </c>
      <c r="B113" s="1">
        <v>44238</v>
      </c>
      <c r="C113" t="s">
        <v>13</v>
      </c>
      <c r="D113" t="s">
        <v>12</v>
      </c>
      <c r="E113">
        <v>348934</v>
      </c>
      <c r="F113">
        <v>4564542</v>
      </c>
      <c r="G113">
        <v>188516</v>
      </c>
      <c r="H113">
        <v>9895</v>
      </c>
      <c r="I113">
        <v>304</v>
      </c>
      <c r="J113">
        <v>28</v>
      </c>
      <c r="K113">
        <v>131068</v>
      </c>
    </row>
    <row r="114" spans="1:11" x14ac:dyDescent="0.35">
      <c r="A114">
        <v>113</v>
      </c>
      <c r="B114" s="1">
        <v>44238</v>
      </c>
      <c r="C114" t="s">
        <v>14</v>
      </c>
      <c r="D114" t="s">
        <v>15</v>
      </c>
      <c r="E114">
        <v>89459845</v>
      </c>
      <c r="F114">
        <v>134600</v>
      </c>
      <c r="G114">
        <v>26220.400000000001</v>
      </c>
      <c r="H114">
        <v>2692</v>
      </c>
      <c r="I114">
        <v>54</v>
      </c>
      <c r="J114">
        <v>6</v>
      </c>
      <c r="K114">
        <v>48990</v>
      </c>
    </row>
    <row r="115" spans="1:11" x14ac:dyDescent="0.35">
      <c r="A115">
        <v>114</v>
      </c>
      <c r="B115" s="1">
        <v>44238</v>
      </c>
      <c r="C115" t="s">
        <v>16</v>
      </c>
      <c r="D115" t="s">
        <v>15</v>
      </c>
      <c r="E115">
        <v>127823</v>
      </c>
      <c r="F115">
        <v>1254537</v>
      </c>
      <c r="G115">
        <v>51422.5</v>
      </c>
      <c r="H115">
        <v>7198</v>
      </c>
      <c r="I115">
        <v>144</v>
      </c>
      <c r="J115">
        <v>14</v>
      </c>
      <c r="K115">
        <v>41986</v>
      </c>
    </row>
    <row r="116" spans="1:11" x14ac:dyDescent="0.35">
      <c r="A116">
        <v>115</v>
      </c>
      <c r="B116" s="1">
        <v>44238</v>
      </c>
      <c r="C116" t="s">
        <v>17</v>
      </c>
      <c r="D116" t="s">
        <v>18</v>
      </c>
      <c r="E116">
        <v>10934</v>
      </c>
      <c r="F116">
        <v>1210466</v>
      </c>
      <c r="G116">
        <v>197161</v>
      </c>
      <c r="H116">
        <v>13506</v>
      </c>
      <c r="I116">
        <v>474</v>
      </c>
      <c r="J116">
        <v>95</v>
      </c>
      <c r="K116">
        <v>831820</v>
      </c>
    </row>
    <row r="117" spans="1:11" x14ac:dyDescent="0.35">
      <c r="A117">
        <v>116</v>
      </c>
      <c r="B117" s="1">
        <v>44238</v>
      </c>
      <c r="C117" t="s">
        <v>19</v>
      </c>
      <c r="D117" t="s">
        <v>12</v>
      </c>
      <c r="E117">
        <v>9034945</v>
      </c>
      <c r="F117">
        <v>2224531</v>
      </c>
      <c r="G117">
        <v>348.99</v>
      </c>
      <c r="H117">
        <v>8106</v>
      </c>
      <c r="I117">
        <v>1</v>
      </c>
      <c r="J117">
        <v>0</v>
      </c>
      <c r="K117">
        <v>0</v>
      </c>
    </row>
    <row r="118" spans="1:11" x14ac:dyDescent="0.35">
      <c r="A118">
        <v>117</v>
      </c>
      <c r="B118" s="1">
        <v>44238</v>
      </c>
      <c r="C118" t="s">
        <v>20</v>
      </c>
      <c r="D118" t="s">
        <v>12</v>
      </c>
      <c r="E118">
        <v>983498</v>
      </c>
      <c r="F118">
        <v>3058200</v>
      </c>
      <c r="G118">
        <v>4138.7299999999996</v>
      </c>
      <c r="H118">
        <v>15291</v>
      </c>
      <c r="I118">
        <v>114</v>
      </c>
      <c r="J118">
        <v>1</v>
      </c>
      <c r="K118">
        <v>2771</v>
      </c>
    </row>
    <row r="119" spans="1:11" x14ac:dyDescent="0.35">
      <c r="A119">
        <v>118</v>
      </c>
      <c r="B119" s="1">
        <v>44238</v>
      </c>
      <c r="C119" t="s">
        <v>21</v>
      </c>
      <c r="D119" t="s">
        <v>12</v>
      </c>
      <c r="E119">
        <v>4387490</v>
      </c>
      <c r="F119">
        <v>26774</v>
      </c>
      <c r="G119">
        <v>17711.099999999999</v>
      </c>
      <c r="H119">
        <v>893</v>
      </c>
      <c r="I119">
        <v>27</v>
      </c>
      <c r="J119">
        <v>6</v>
      </c>
      <c r="K119">
        <v>29886</v>
      </c>
    </row>
    <row r="120" spans="1:11" x14ac:dyDescent="0.35">
      <c r="A120">
        <v>119</v>
      </c>
      <c r="B120" s="1">
        <v>44238</v>
      </c>
      <c r="C120" t="s">
        <v>22</v>
      </c>
      <c r="D120" t="s">
        <v>12</v>
      </c>
      <c r="E120">
        <v>544756</v>
      </c>
      <c r="F120">
        <v>359500</v>
      </c>
      <c r="G120">
        <v>6171.15</v>
      </c>
      <c r="H120">
        <v>3595</v>
      </c>
      <c r="I120">
        <v>5</v>
      </c>
      <c r="J120">
        <v>1</v>
      </c>
      <c r="K120">
        <v>677</v>
      </c>
    </row>
    <row r="121" spans="1:11" x14ac:dyDescent="0.35">
      <c r="A121">
        <v>120</v>
      </c>
      <c r="B121" s="1">
        <v>44238</v>
      </c>
      <c r="C121" t="s">
        <v>23</v>
      </c>
      <c r="D121" t="s">
        <v>18</v>
      </c>
      <c r="E121">
        <v>374754</v>
      </c>
      <c r="F121">
        <v>900400</v>
      </c>
      <c r="G121">
        <v>128751</v>
      </c>
      <c r="H121">
        <v>9004</v>
      </c>
      <c r="I121">
        <v>227</v>
      </c>
      <c r="J121">
        <v>29</v>
      </c>
      <c r="K121">
        <v>143869</v>
      </c>
    </row>
    <row r="122" spans="1:11" x14ac:dyDescent="0.35">
      <c r="A122">
        <v>121</v>
      </c>
      <c r="B122" s="1">
        <v>44238</v>
      </c>
      <c r="C122" t="s">
        <v>24</v>
      </c>
      <c r="D122" t="s">
        <v>25</v>
      </c>
      <c r="E122">
        <v>39889</v>
      </c>
      <c r="F122">
        <v>5125187</v>
      </c>
      <c r="G122">
        <v>193124</v>
      </c>
      <c r="H122">
        <v>12602</v>
      </c>
      <c r="I122">
        <v>482</v>
      </c>
      <c r="J122">
        <v>57</v>
      </c>
      <c r="K122">
        <v>226917</v>
      </c>
    </row>
    <row r="123" spans="1:11" x14ac:dyDescent="0.35">
      <c r="A123">
        <v>122</v>
      </c>
      <c r="B123" s="1">
        <v>44239</v>
      </c>
      <c r="C123" t="s">
        <v>11</v>
      </c>
      <c r="D123" t="s">
        <v>12</v>
      </c>
      <c r="E123">
        <v>349043</v>
      </c>
      <c r="F123">
        <v>1804868</v>
      </c>
      <c r="G123">
        <v>110004</v>
      </c>
      <c r="H123">
        <v>9607</v>
      </c>
      <c r="I123">
        <v>192</v>
      </c>
      <c r="J123">
        <v>23</v>
      </c>
      <c r="K123">
        <v>96163</v>
      </c>
    </row>
    <row r="124" spans="1:11" x14ac:dyDescent="0.35">
      <c r="A124">
        <v>123</v>
      </c>
      <c r="B124" s="1">
        <v>44239</v>
      </c>
      <c r="C124" t="s">
        <v>13</v>
      </c>
      <c r="D124" t="s">
        <v>12</v>
      </c>
      <c r="E124">
        <v>348934</v>
      </c>
      <c r="F124">
        <v>2639200</v>
      </c>
      <c r="G124">
        <v>191722</v>
      </c>
      <c r="H124">
        <v>13196</v>
      </c>
      <c r="I124">
        <v>325</v>
      </c>
      <c r="J124">
        <v>32</v>
      </c>
      <c r="K124">
        <v>176512</v>
      </c>
    </row>
    <row r="125" spans="1:11" x14ac:dyDescent="0.35">
      <c r="A125">
        <v>124</v>
      </c>
      <c r="B125" s="1">
        <v>44239</v>
      </c>
      <c r="C125" t="s">
        <v>14</v>
      </c>
      <c r="D125" t="s">
        <v>15</v>
      </c>
      <c r="E125">
        <v>89459845</v>
      </c>
      <c r="F125">
        <v>161493</v>
      </c>
      <c r="G125">
        <v>59745.3</v>
      </c>
      <c r="H125">
        <v>3602</v>
      </c>
      <c r="I125">
        <v>72</v>
      </c>
      <c r="J125">
        <v>14</v>
      </c>
      <c r="K125">
        <v>122710</v>
      </c>
    </row>
    <row r="126" spans="1:11" x14ac:dyDescent="0.35">
      <c r="A126">
        <v>125</v>
      </c>
      <c r="B126" s="1">
        <v>44239</v>
      </c>
      <c r="C126" t="s">
        <v>16</v>
      </c>
      <c r="D126" t="s">
        <v>15</v>
      </c>
      <c r="E126">
        <v>127823</v>
      </c>
      <c r="F126">
        <v>1502383</v>
      </c>
      <c r="G126">
        <v>86733.1</v>
      </c>
      <c r="H126">
        <v>9605</v>
      </c>
      <c r="I126">
        <v>192</v>
      </c>
      <c r="J126">
        <v>19</v>
      </c>
      <c r="K126">
        <v>56639</v>
      </c>
    </row>
    <row r="127" spans="1:11" x14ac:dyDescent="0.35">
      <c r="A127">
        <v>126</v>
      </c>
      <c r="B127" s="1">
        <v>44239</v>
      </c>
      <c r="C127" t="s">
        <v>17</v>
      </c>
      <c r="D127" t="s">
        <v>18</v>
      </c>
      <c r="E127">
        <v>10934</v>
      </c>
      <c r="F127">
        <v>1299708</v>
      </c>
      <c r="G127">
        <v>121652</v>
      </c>
      <c r="H127">
        <v>17994</v>
      </c>
      <c r="I127">
        <v>378</v>
      </c>
      <c r="J127">
        <v>61</v>
      </c>
      <c r="K127">
        <v>486841</v>
      </c>
    </row>
    <row r="128" spans="1:11" x14ac:dyDescent="0.35">
      <c r="A128">
        <v>127</v>
      </c>
      <c r="B128" s="1">
        <v>44239</v>
      </c>
      <c r="C128" t="s">
        <v>19</v>
      </c>
      <c r="D128" t="s">
        <v>12</v>
      </c>
      <c r="E128">
        <v>9034945</v>
      </c>
      <c r="F128">
        <v>3735390</v>
      </c>
      <c r="G128">
        <v>26659.9</v>
      </c>
      <c r="H128">
        <v>10806</v>
      </c>
      <c r="I128">
        <v>115</v>
      </c>
      <c r="J128">
        <v>9</v>
      </c>
      <c r="K128">
        <v>53523</v>
      </c>
    </row>
    <row r="129" spans="1:11" x14ac:dyDescent="0.35">
      <c r="A129">
        <v>128</v>
      </c>
      <c r="B129" s="1">
        <v>44239</v>
      </c>
      <c r="C129" t="s">
        <v>20</v>
      </c>
      <c r="D129" t="s">
        <v>12</v>
      </c>
      <c r="E129">
        <v>983498</v>
      </c>
      <c r="F129">
        <v>7156880</v>
      </c>
      <c r="G129">
        <v>49060.3</v>
      </c>
      <c r="H129">
        <v>20391</v>
      </c>
      <c r="I129">
        <v>408</v>
      </c>
      <c r="J129">
        <v>15</v>
      </c>
      <c r="K129">
        <v>29715</v>
      </c>
    </row>
    <row r="130" spans="1:11" x14ac:dyDescent="0.35">
      <c r="A130">
        <v>129</v>
      </c>
      <c r="B130" s="1">
        <v>44239</v>
      </c>
      <c r="C130" t="s">
        <v>21</v>
      </c>
      <c r="D130" t="s">
        <v>12</v>
      </c>
      <c r="E130">
        <v>4387490</v>
      </c>
      <c r="F130">
        <v>42587</v>
      </c>
      <c r="G130">
        <v>11278.3</v>
      </c>
      <c r="H130">
        <v>1207</v>
      </c>
      <c r="I130">
        <v>34</v>
      </c>
      <c r="J130">
        <v>8</v>
      </c>
      <c r="K130">
        <v>39848</v>
      </c>
    </row>
    <row r="131" spans="1:11" x14ac:dyDescent="0.35">
      <c r="A131">
        <v>130</v>
      </c>
      <c r="B131" s="1">
        <v>44239</v>
      </c>
      <c r="C131" t="s">
        <v>22</v>
      </c>
      <c r="D131" t="s">
        <v>12</v>
      </c>
      <c r="E131">
        <v>544756</v>
      </c>
      <c r="F131">
        <v>480000</v>
      </c>
      <c r="G131">
        <v>44580.9</v>
      </c>
      <c r="H131">
        <v>4800</v>
      </c>
      <c r="I131">
        <v>33</v>
      </c>
      <c r="J131">
        <v>5</v>
      </c>
      <c r="K131">
        <v>6945</v>
      </c>
    </row>
    <row r="132" spans="1:11" x14ac:dyDescent="0.35">
      <c r="A132">
        <v>131</v>
      </c>
      <c r="B132" s="1">
        <v>44239</v>
      </c>
      <c r="C132" t="s">
        <v>23</v>
      </c>
      <c r="D132" t="s">
        <v>18</v>
      </c>
      <c r="E132">
        <v>374754</v>
      </c>
      <c r="F132">
        <v>1200300</v>
      </c>
      <c r="G132">
        <v>308572</v>
      </c>
      <c r="H132">
        <v>12003</v>
      </c>
      <c r="I132">
        <v>412</v>
      </c>
      <c r="J132">
        <v>79</v>
      </c>
      <c r="K132">
        <v>393499</v>
      </c>
    </row>
    <row r="133" spans="1:11" x14ac:dyDescent="0.35">
      <c r="A133">
        <v>132</v>
      </c>
      <c r="B133" s="1">
        <v>44239</v>
      </c>
      <c r="C133" t="s">
        <v>24</v>
      </c>
      <c r="D133" t="s">
        <v>25</v>
      </c>
      <c r="E133">
        <v>39889</v>
      </c>
      <c r="F133">
        <v>10819771</v>
      </c>
      <c r="G133">
        <v>145201</v>
      </c>
      <c r="H133">
        <v>16808</v>
      </c>
      <c r="I133">
        <v>336</v>
      </c>
      <c r="J133">
        <v>49</v>
      </c>
      <c r="K133">
        <v>195069</v>
      </c>
    </row>
    <row r="134" spans="1:11" x14ac:dyDescent="0.35">
      <c r="A134">
        <v>133</v>
      </c>
      <c r="B134" s="1">
        <v>44240</v>
      </c>
      <c r="C134" t="s">
        <v>11</v>
      </c>
      <c r="D134" t="s">
        <v>12</v>
      </c>
      <c r="E134">
        <v>349043</v>
      </c>
      <c r="F134">
        <v>1496322</v>
      </c>
      <c r="G134">
        <v>308692</v>
      </c>
      <c r="H134">
        <v>11990</v>
      </c>
      <c r="I134">
        <v>397</v>
      </c>
      <c r="J134">
        <v>60</v>
      </c>
      <c r="K134">
        <v>341880</v>
      </c>
    </row>
    <row r="135" spans="1:11" x14ac:dyDescent="0.35">
      <c r="A135">
        <v>134</v>
      </c>
      <c r="B135" s="1">
        <v>44240</v>
      </c>
      <c r="C135" t="s">
        <v>13</v>
      </c>
      <c r="D135" t="s">
        <v>12</v>
      </c>
      <c r="E135">
        <v>348934</v>
      </c>
      <c r="F135">
        <v>2358224</v>
      </c>
      <c r="G135">
        <v>325444</v>
      </c>
      <c r="H135">
        <v>16506</v>
      </c>
      <c r="I135">
        <v>655</v>
      </c>
      <c r="J135">
        <v>52</v>
      </c>
      <c r="K135">
        <v>262184</v>
      </c>
    </row>
    <row r="136" spans="1:11" x14ac:dyDescent="0.35">
      <c r="A136">
        <v>135</v>
      </c>
      <c r="B136" s="1">
        <v>44240</v>
      </c>
      <c r="C136" t="s">
        <v>14</v>
      </c>
      <c r="D136" t="s">
        <v>15</v>
      </c>
      <c r="E136">
        <v>89459845</v>
      </c>
      <c r="F136">
        <v>225350</v>
      </c>
      <c r="G136">
        <v>61588.1</v>
      </c>
      <c r="H136">
        <v>4507</v>
      </c>
      <c r="I136">
        <v>100</v>
      </c>
      <c r="J136">
        <v>17</v>
      </c>
      <c r="K136">
        <v>152660</v>
      </c>
    </row>
    <row r="137" spans="1:11" x14ac:dyDescent="0.35">
      <c r="A137">
        <v>136</v>
      </c>
      <c r="B137" s="1">
        <v>44240</v>
      </c>
      <c r="C137" t="s">
        <v>16</v>
      </c>
      <c r="D137" t="s">
        <v>15</v>
      </c>
      <c r="E137">
        <v>127823</v>
      </c>
      <c r="F137">
        <v>3452027</v>
      </c>
      <c r="G137">
        <v>216562</v>
      </c>
      <c r="H137">
        <v>12010</v>
      </c>
      <c r="I137">
        <v>378</v>
      </c>
      <c r="J137">
        <v>56</v>
      </c>
      <c r="K137">
        <v>123088</v>
      </c>
    </row>
    <row r="138" spans="1:11" x14ac:dyDescent="0.35">
      <c r="A138">
        <v>137</v>
      </c>
      <c r="B138" s="1">
        <v>44240</v>
      </c>
      <c r="C138" t="s">
        <v>17</v>
      </c>
      <c r="D138" t="s">
        <v>18</v>
      </c>
      <c r="E138">
        <v>10934</v>
      </c>
      <c r="F138">
        <v>2250900</v>
      </c>
      <c r="G138">
        <v>205045</v>
      </c>
      <c r="H138">
        <v>22509</v>
      </c>
      <c r="I138">
        <v>790</v>
      </c>
      <c r="J138">
        <v>158</v>
      </c>
      <c r="K138">
        <v>1296550</v>
      </c>
    </row>
    <row r="139" spans="1:11" x14ac:dyDescent="0.35">
      <c r="A139">
        <v>138</v>
      </c>
      <c r="B139" s="1">
        <v>44240</v>
      </c>
      <c r="C139" t="s">
        <v>19</v>
      </c>
      <c r="D139" t="s">
        <v>12</v>
      </c>
      <c r="E139">
        <v>9034945</v>
      </c>
      <c r="F139">
        <v>2698200</v>
      </c>
      <c r="G139">
        <v>88844.800000000003</v>
      </c>
      <c r="H139">
        <v>13491</v>
      </c>
      <c r="I139">
        <v>219</v>
      </c>
      <c r="J139">
        <v>26</v>
      </c>
      <c r="K139">
        <v>176384</v>
      </c>
    </row>
    <row r="140" spans="1:11" x14ac:dyDescent="0.35">
      <c r="A140">
        <v>139</v>
      </c>
      <c r="B140" s="1">
        <v>44240</v>
      </c>
      <c r="C140" t="s">
        <v>20</v>
      </c>
      <c r="D140" t="s">
        <v>12</v>
      </c>
      <c r="E140">
        <v>983498</v>
      </c>
      <c r="F140">
        <v>5100600</v>
      </c>
      <c r="G140">
        <v>16656.8</v>
      </c>
      <c r="H140">
        <v>25503</v>
      </c>
      <c r="I140">
        <v>510</v>
      </c>
      <c r="J140">
        <v>6</v>
      </c>
      <c r="K140">
        <v>10134</v>
      </c>
    </row>
    <row r="141" spans="1:11" x14ac:dyDescent="0.35">
      <c r="A141">
        <v>140</v>
      </c>
      <c r="B141" s="1">
        <v>44240</v>
      </c>
      <c r="C141" t="s">
        <v>21</v>
      </c>
      <c r="D141" t="s">
        <v>12</v>
      </c>
      <c r="E141">
        <v>4387490</v>
      </c>
      <c r="F141">
        <v>50333</v>
      </c>
      <c r="G141">
        <v>8367.08</v>
      </c>
      <c r="H141">
        <v>1510</v>
      </c>
      <c r="I141">
        <v>19</v>
      </c>
      <c r="J141">
        <v>4</v>
      </c>
      <c r="K141">
        <v>18828</v>
      </c>
    </row>
    <row r="142" spans="1:11" x14ac:dyDescent="0.35">
      <c r="A142">
        <v>141</v>
      </c>
      <c r="B142" s="1">
        <v>44240</v>
      </c>
      <c r="C142" t="s">
        <v>22</v>
      </c>
      <c r="D142" t="s">
        <v>12</v>
      </c>
      <c r="E142">
        <v>544756</v>
      </c>
      <c r="F142">
        <v>495013</v>
      </c>
      <c r="G142">
        <v>171332</v>
      </c>
      <c r="H142">
        <v>6006</v>
      </c>
      <c r="I142">
        <v>128</v>
      </c>
      <c r="J142">
        <v>19</v>
      </c>
      <c r="K142">
        <v>24035</v>
      </c>
    </row>
    <row r="143" spans="1:11" x14ac:dyDescent="0.35">
      <c r="A143">
        <v>142</v>
      </c>
      <c r="B143" s="1">
        <v>44240</v>
      </c>
      <c r="C143" t="s">
        <v>23</v>
      </c>
      <c r="D143" t="s">
        <v>18</v>
      </c>
      <c r="E143">
        <v>374754</v>
      </c>
      <c r="F143">
        <v>1499200</v>
      </c>
      <c r="G143">
        <v>32770.1</v>
      </c>
      <c r="H143">
        <v>14992</v>
      </c>
      <c r="I143">
        <v>50</v>
      </c>
      <c r="J143">
        <v>8</v>
      </c>
      <c r="K143">
        <v>43976</v>
      </c>
    </row>
    <row r="144" spans="1:11" x14ac:dyDescent="0.35">
      <c r="A144">
        <v>143</v>
      </c>
      <c r="B144" s="1">
        <v>44240</v>
      </c>
      <c r="C144" t="s">
        <v>24</v>
      </c>
      <c r="D144" t="s">
        <v>25</v>
      </c>
      <c r="E144">
        <v>39889</v>
      </c>
      <c r="F144">
        <v>17890507</v>
      </c>
      <c r="G144">
        <v>390105</v>
      </c>
      <c r="H144">
        <v>20993</v>
      </c>
      <c r="I144">
        <v>734</v>
      </c>
      <c r="J144">
        <v>118</v>
      </c>
      <c r="K144">
        <v>353174</v>
      </c>
    </row>
    <row r="145" spans="1:11" x14ac:dyDescent="0.35">
      <c r="A145">
        <v>144</v>
      </c>
      <c r="B145" s="1">
        <v>44241</v>
      </c>
      <c r="C145" t="s">
        <v>11</v>
      </c>
      <c r="D145" t="s">
        <v>12</v>
      </c>
      <c r="E145">
        <v>349043</v>
      </c>
      <c r="F145">
        <v>2452315</v>
      </c>
      <c r="G145">
        <v>60244.9</v>
      </c>
      <c r="H145">
        <v>14406</v>
      </c>
      <c r="I145">
        <v>110</v>
      </c>
      <c r="J145">
        <v>14</v>
      </c>
      <c r="K145">
        <v>63560</v>
      </c>
    </row>
    <row r="146" spans="1:11" x14ac:dyDescent="0.35">
      <c r="A146">
        <v>145</v>
      </c>
      <c r="B146" s="1">
        <v>44241</v>
      </c>
      <c r="C146" t="s">
        <v>13</v>
      </c>
      <c r="D146" t="s">
        <v>12</v>
      </c>
      <c r="E146">
        <v>348934</v>
      </c>
      <c r="F146">
        <v>7936534</v>
      </c>
      <c r="G146">
        <v>197948</v>
      </c>
      <c r="H146">
        <v>19797</v>
      </c>
      <c r="I146">
        <v>396</v>
      </c>
      <c r="J146">
        <v>30</v>
      </c>
      <c r="K146">
        <v>149430</v>
      </c>
    </row>
    <row r="147" spans="1:11" x14ac:dyDescent="0.35">
      <c r="A147">
        <v>146</v>
      </c>
      <c r="B147" s="1">
        <v>44241</v>
      </c>
      <c r="C147" t="s">
        <v>14</v>
      </c>
      <c r="D147" t="s">
        <v>15</v>
      </c>
      <c r="E147">
        <v>89459845</v>
      </c>
      <c r="F147">
        <v>263754</v>
      </c>
      <c r="G147">
        <v>56440.3</v>
      </c>
      <c r="H147">
        <v>5409</v>
      </c>
      <c r="I147">
        <v>90</v>
      </c>
      <c r="J147">
        <v>11</v>
      </c>
      <c r="K147">
        <v>84183</v>
      </c>
    </row>
    <row r="148" spans="1:11" x14ac:dyDescent="0.35">
      <c r="A148">
        <v>147</v>
      </c>
      <c r="B148" s="1">
        <v>44241</v>
      </c>
      <c r="C148" t="s">
        <v>16</v>
      </c>
      <c r="D148" t="s">
        <v>15</v>
      </c>
      <c r="E148">
        <v>127823</v>
      </c>
      <c r="F148">
        <v>3111389</v>
      </c>
      <c r="G148">
        <v>196998</v>
      </c>
      <c r="H148">
        <v>14390</v>
      </c>
      <c r="I148">
        <v>498</v>
      </c>
      <c r="J148">
        <v>48</v>
      </c>
      <c r="K148">
        <v>101280</v>
      </c>
    </row>
    <row r="149" spans="1:11" x14ac:dyDescent="0.35">
      <c r="A149">
        <v>148</v>
      </c>
      <c r="B149" s="1">
        <v>44241</v>
      </c>
      <c r="C149" t="s">
        <v>17</v>
      </c>
      <c r="D149" t="s">
        <v>18</v>
      </c>
      <c r="E149">
        <v>10934</v>
      </c>
      <c r="F149">
        <v>2511956</v>
      </c>
      <c r="G149">
        <v>231751</v>
      </c>
      <c r="H149">
        <v>26993</v>
      </c>
      <c r="I149">
        <v>540</v>
      </c>
      <c r="J149">
        <v>85</v>
      </c>
      <c r="K149">
        <v>733550</v>
      </c>
    </row>
    <row r="150" spans="1:11" x14ac:dyDescent="0.35">
      <c r="A150">
        <v>149</v>
      </c>
      <c r="B150" s="1">
        <v>44241</v>
      </c>
      <c r="C150" t="s">
        <v>19</v>
      </c>
      <c r="D150" t="s">
        <v>12</v>
      </c>
      <c r="E150">
        <v>9034945</v>
      </c>
      <c r="F150">
        <v>3239400</v>
      </c>
      <c r="G150">
        <v>312844</v>
      </c>
      <c r="H150">
        <v>16197</v>
      </c>
      <c r="I150">
        <v>604</v>
      </c>
      <c r="J150">
        <v>72</v>
      </c>
      <c r="K150">
        <v>377352</v>
      </c>
    </row>
    <row r="151" spans="1:11" x14ac:dyDescent="0.35">
      <c r="A151">
        <v>150</v>
      </c>
      <c r="B151" s="1">
        <v>44241</v>
      </c>
      <c r="C151" t="s">
        <v>20</v>
      </c>
      <c r="D151" t="s">
        <v>12</v>
      </c>
      <c r="E151">
        <v>983498</v>
      </c>
      <c r="F151">
        <v>5130500</v>
      </c>
      <c r="G151">
        <v>218228</v>
      </c>
      <c r="H151">
        <v>30602</v>
      </c>
      <c r="I151">
        <v>935</v>
      </c>
      <c r="J151">
        <v>54</v>
      </c>
      <c r="K151">
        <v>119718</v>
      </c>
    </row>
    <row r="152" spans="1:11" x14ac:dyDescent="0.35">
      <c r="A152">
        <v>151</v>
      </c>
      <c r="B152" s="1">
        <v>44241</v>
      </c>
      <c r="C152" t="s">
        <v>21</v>
      </c>
      <c r="D152" t="s">
        <v>12</v>
      </c>
      <c r="E152">
        <v>4387490</v>
      </c>
      <c r="F152">
        <v>55495</v>
      </c>
      <c r="G152">
        <v>4764.34</v>
      </c>
      <c r="H152">
        <v>1790</v>
      </c>
      <c r="I152">
        <v>10</v>
      </c>
      <c r="J152">
        <v>2</v>
      </c>
      <c r="K152">
        <v>10902</v>
      </c>
    </row>
    <row r="153" spans="1:11" x14ac:dyDescent="0.35">
      <c r="A153">
        <v>152</v>
      </c>
      <c r="B153" s="1">
        <v>44241</v>
      </c>
      <c r="C153" t="s">
        <v>22</v>
      </c>
      <c r="D153" t="s">
        <v>12</v>
      </c>
      <c r="E153">
        <v>544756</v>
      </c>
      <c r="F153">
        <v>605220</v>
      </c>
      <c r="G153">
        <v>170719</v>
      </c>
      <c r="H153">
        <v>7205</v>
      </c>
      <c r="I153">
        <v>142</v>
      </c>
      <c r="J153">
        <v>21</v>
      </c>
      <c r="K153">
        <v>14280</v>
      </c>
    </row>
    <row r="154" spans="1:11" x14ac:dyDescent="0.35">
      <c r="A154">
        <v>153</v>
      </c>
      <c r="B154" s="1">
        <v>44241</v>
      </c>
      <c r="C154" t="s">
        <v>23</v>
      </c>
      <c r="D154" t="s">
        <v>18</v>
      </c>
      <c r="E154">
        <v>374754</v>
      </c>
      <c r="F154">
        <v>2429465</v>
      </c>
      <c r="G154">
        <v>205870</v>
      </c>
      <c r="H154">
        <v>17998</v>
      </c>
      <c r="I154">
        <v>354</v>
      </c>
      <c r="J154">
        <v>53</v>
      </c>
      <c r="K154">
        <v>306817</v>
      </c>
    </row>
    <row r="155" spans="1:11" x14ac:dyDescent="0.35">
      <c r="A155">
        <v>154</v>
      </c>
      <c r="B155" s="1">
        <v>44241</v>
      </c>
      <c r="C155" t="s">
        <v>24</v>
      </c>
      <c r="D155" t="s">
        <v>25</v>
      </c>
      <c r="E155">
        <v>39889</v>
      </c>
      <c r="F155">
        <v>7218480</v>
      </c>
      <c r="G155">
        <v>225274</v>
      </c>
      <c r="H155">
        <v>25190</v>
      </c>
      <c r="I155">
        <v>504</v>
      </c>
      <c r="J155">
        <v>76</v>
      </c>
      <c r="K155">
        <v>236056</v>
      </c>
    </row>
    <row r="156" spans="1:11" x14ac:dyDescent="0.35">
      <c r="A156">
        <v>155</v>
      </c>
      <c r="B156" s="1">
        <v>44242</v>
      </c>
      <c r="C156" t="s">
        <v>11</v>
      </c>
      <c r="D156" t="s">
        <v>12</v>
      </c>
      <c r="E156">
        <v>349043</v>
      </c>
      <c r="F156">
        <v>3361800</v>
      </c>
      <c r="G156">
        <v>168064</v>
      </c>
      <c r="H156">
        <v>16809</v>
      </c>
      <c r="I156">
        <v>247</v>
      </c>
      <c r="J156">
        <v>30</v>
      </c>
      <c r="K156">
        <v>149430</v>
      </c>
    </row>
    <row r="157" spans="1:11" x14ac:dyDescent="0.35">
      <c r="A157">
        <v>156</v>
      </c>
      <c r="B157" s="1">
        <v>44242</v>
      </c>
      <c r="C157" t="s">
        <v>13</v>
      </c>
      <c r="D157" t="s">
        <v>12</v>
      </c>
      <c r="E157">
        <v>348934</v>
      </c>
      <c r="F157">
        <v>3441545</v>
      </c>
      <c r="G157">
        <v>593576</v>
      </c>
      <c r="H157">
        <v>23103</v>
      </c>
      <c r="I157">
        <v>694</v>
      </c>
      <c r="J157">
        <v>81</v>
      </c>
      <c r="K157">
        <v>403461</v>
      </c>
    </row>
    <row r="158" spans="1:11" x14ac:dyDescent="0.35">
      <c r="A158">
        <v>157</v>
      </c>
      <c r="B158" s="1">
        <v>44242</v>
      </c>
      <c r="C158" t="s">
        <v>14</v>
      </c>
      <c r="D158" t="s">
        <v>15</v>
      </c>
      <c r="E158">
        <v>89459845</v>
      </c>
      <c r="F158">
        <v>315350</v>
      </c>
      <c r="G158">
        <v>82930.7</v>
      </c>
      <c r="H158">
        <v>6307</v>
      </c>
      <c r="I158">
        <v>126</v>
      </c>
      <c r="J158">
        <v>19</v>
      </c>
      <c r="K158">
        <v>138073</v>
      </c>
    </row>
    <row r="159" spans="1:11" x14ac:dyDescent="0.35">
      <c r="A159">
        <v>158</v>
      </c>
      <c r="B159" s="1">
        <v>44242</v>
      </c>
      <c r="C159" t="s">
        <v>16</v>
      </c>
      <c r="D159" t="s">
        <v>15</v>
      </c>
      <c r="E159">
        <v>127823</v>
      </c>
      <c r="F159">
        <v>3359600</v>
      </c>
      <c r="G159">
        <v>124854</v>
      </c>
      <c r="H159">
        <v>16798</v>
      </c>
      <c r="I159">
        <v>336</v>
      </c>
      <c r="J159">
        <v>31</v>
      </c>
      <c r="K159">
        <v>92411</v>
      </c>
    </row>
    <row r="160" spans="1:11" x14ac:dyDescent="0.35">
      <c r="A160">
        <v>159</v>
      </c>
      <c r="B160" s="1">
        <v>44242</v>
      </c>
      <c r="C160" t="s">
        <v>17</v>
      </c>
      <c r="D160" t="s">
        <v>18</v>
      </c>
      <c r="E160">
        <v>10934</v>
      </c>
      <c r="F160">
        <v>2478877</v>
      </c>
      <c r="G160">
        <v>151480</v>
      </c>
      <c r="H160">
        <v>31504</v>
      </c>
      <c r="I160">
        <v>630</v>
      </c>
      <c r="J160">
        <v>98</v>
      </c>
      <c r="K160">
        <v>782138</v>
      </c>
    </row>
    <row r="161" spans="1:11" x14ac:dyDescent="0.35">
      <c r="A161">
        <v>160</v>
      </c>
      <c r="B161" s="1">
        <v>44242</v>
      </c>
      <c r="C161" t="s">
        <v>19</v>
      </c>
      <c r="D161" t="s">
        <v>12</v>
      </c>
      <c r="E161">
        <v>9034945</v>
      </c>
      <c r="F161">
        <v>3780200</v>
      </c>
      <c r="G161">
        <v>136269</v>
      </c>
      <c r="H161">
        <v>18901</v>
      </c>
      <c r="I161">
        <v>378</v>
      </c>
      <c r="J161">
        <v>45</v>
      </c>
      <c r="K161">
        <v>269145</v>
      </c>
    </row>
    <row r="162" spans="1:11" x14ac:dyDescent="0.35">
      <c r="A162">
        <v>161</v>
      </c>
      <c r="B162" s="1">
        <v>44242</v>
      </c>
      <c r="C162" t="s">
        <v>20</v>
      </c>
      <c r="D162" t="s">
        <v>12</v>
      </c>
      <c r="E162">
        <v>983498</v>
      </c>
      <c r="F162">
        <v>7138400</v>
      </c>
      <c r="G162">
        <v>37098.6</v>
      </c>
      <c r="H162">
        <v>35692</v>
      </c>
      <c r="I162">
        <v>916</v>
      </c>
      <c r="J162">
        <v>11</v>
      </c>
      <c r="K162">
        <v>21791</v>
      </c>
    </row>
    <row r="163" spans="1:11" x14ac:dyDescent="0.35">
      <c r="A163">
        <v>162</v>
      </c>
      <c r="B163" s="1">
        <v>44242</v>
      </c>
      <c r="C163" t="s">
        <v>21</v>
      </c>
      <c r="D163" t="s">
        <v>12</v>
      </c>
      <c r="E163">
        <v>4387490</v>
      </c>
      <c r="F163">
        <v>63986</v>
      </c>
      <c r="G163">
        <v>14609.5</v>
      </c>
      <c r="H163">
        <v>2099</v>
      </c>
      <c r="I163">
        <v>28</v>
      </c>
      <c r="J163">
        <v>5</v>
      </c>
      <c r="K163">
        <v>24905</v>
      </c>
    </row>
    <row r="164" spans="1:11" x14ac:dyDescent="0.35">
      <c r="A164">
        <v>163</v>
      </c>
      <c r="B164" s="1">
        <v>44242</v>
      </c>
      <c r="C164" t="s">
        <v>22</v>
      </c>
      <c r="D164" t="s">
        <v>12</v>
      </c>
      <c r="E164">
        <v>544756</v>
      </c>
      <c r="F164">
        <v>1093435</v>
      </c>
      <c r="G164">
        <v>6587.76</v>
      </c>
      <c r="H164">
        <v>8402</v>
      </c>
      <c r="I164">
        <v>4</v>
      </c>
      <c r="J164">
        <v>1</v>
      </c>
      <c r="K164">
        <v>741</v>
      </c>
    </row>
    <row r="165" spans="1:11" x14ac:dyDescent="0.35">
      <c r="A165">
        <v>164</v>
      </c>
      <c r="B165" s="1">
        <v>44242</v>
      </c>
      <c r="C165" t="s">
        <v>23</v>
      </c>
      <c r="D165" t="s">
        <v>18</v>
      </c>
      <c r="E165">
        <v>374754</v>
      </c>
      <c r="F165">
        <v>2100700</v>
      </c>
      <c r="G165">
        <v>82452</v>
      </c>
      <c r="H165">
        <v>21007</v>
      </c>
      <c r="I165">
        <v>122</v>
      </c>
      <c r="J165">
        <v>24</v>
      </c>
      <c r="K165">
        <v>103392</v>
      </c>
    </row>
    <row r="166" spans="1:11" x14ac:dyDescent="0.35">
      <c r="A166">
        <v>165</v>
      </c>
      <c r="B166" s="1">
        <v>44242</v>
      </c>
      <c r="C166" t="s">
        <v>24</v>
      </c>
      <c r="D166" t="s">
        <v>25</v>
      </c>
      <c r="E166">
        <v>39889</v>
      </c>
      <c r="F166">
        <v>8747458</v>
      </c>
      <c r="G166">
        <v>543275</v>
      </c>
      <c r="H166">
        <v>29390</v>
      </c>
      <c r="I166">
        <v>1061</v>
      </c>
      <c r="J166">
        <v>171</v>
      </c>
      <c r="K166">
        <v>809685</v>
      </c>
    </row>
    <row r="167" spans="1:11" x14ac:dyDescent="0.35">
      <c r="A167">
        <v>166</v>
      </c>
      <c r="B167" s="1">
        <v>44243</v>
      </c>
      <c r="C167" t="s">
        <v>11</v>
      </c>
      <c r="D167" t="s">
        <v>12</v>
      </c>
      <c r="E167">
        <v>349043</v>
      </c>
      <c r="F167">
        <v>3839000</v>
      </c>
      <c r="G167">
        <v>393027</v>
      </c>
      <c r="H167">
        <v>19195</v>
      </c>
      <c r="I167">
        <v>384</v>
      </c>
      <c r="J167">
        <v>64</v>
      </c>
      <c r="K167">
        <v>336448</v>
      </c>
    </row>
    <row r="168" spans="1:11" x14ac:dyDescent="0.35">
      <c r="A168">
        <v>167</v>
      </c>
      <c r="B168" s="1">
        <v>44243</v>
      </c>
      <c r="C168" t="s">
        <v>13</v>
      </c>
      <c r="D168" t="s">
        <v>12</v>
      </c>
      <c r="E168">
        <v>348934</v>
      </c>
      <c r="F168">
        <v>5280000</v>
      </c>
      <c r="G168">
        <v>595176</v>
      </c>
      <c r="H168">
        <v>26400</v>
      </c>
      <c r="I168">
        <v>923</v>
      </c>
      <c r="J168">
        <v>80</v>
      </c>
      <c r="K168">
        <v>392160</v>
      </c>
    </row>
    <row r="169" spans="1:11" x14ac:dyDescent="0.35">
      <c r="A169">
        <v>168</v>
      </c>
      <c r="B169" s="1">
        <v>44243</v>
      </c>
      <c r="C169" t="s">
        <v>14</v>
      </c>
      <c r="D169" t="s">
        <v>15</v>
      </c>
      <c r="E169">
        <v>89459845</v>
      </c>
      <c r="F169">
        <v>373184</v>
      </c>
      <c r="G169">
        <v>102053</v>
      </c>
      <c r="H169">
        <v>7198</v>
      </c>
      <c r="I169">
        <v>144</v>
      </c>
      <c r="J169">
        <v>22</v>
      </c>
      <c r="K169">
        <v>185482</v>
      </c>
    </row>
    <row r="170" spans="1:11" x14ac:dyDescent="0.35">
      <c r="A170">
        <v>169</v>
      </c>
      <c r="B170" s="1">
        <v>44243</v>
      </c>
      <c r="C170" t="s">
        <v>16</v>
      </c>
      <c r="D170" t="s">
        <v>15</v>
      </c>
      <c r="E170">
        <v>127823</v>
      </c>
      <c r="F170">
        <v>3841400</v>
      </c>
      <c r="G170">
        <v>271906</v>
      </c>
      <c r="H170">
        <v>19207</v>
      </c>
      <c r="I170">
        <v>666</v>
      </c>
      <c r="J170">
        <v>67</v>
      </c>
      <c r="K170">
        <v>199727</v>
      </c>
    </row>
    <row r="171" spans="1:11" x14ac:dyDescent="0.35">
      <c r="A171">
        <v>170</v>
      </c>
      <c r="B171" s="1">
        <v>44243</v>
      </c>
      <c r="C171" t="s">
        <v>17</v>
      </c>
      <c r="D171" t="s">
        <v>18</v>
      </c>
      <c r="E171">
        <v>10934</v>
      </c>
      <c r="F171">
        <v>4371118</v>
      </c>
      <c r="G171">
        <v>221258</v>
      </c>
      <c r="H171">
        <v>35999</v>
      </c>
      <c r="I171">
        <v>720</v>
      </c>
      <c r="J171">
        <v>128</v>
      </c>
      <c r="K171">
        <v>1021570</v>
      </c>
    </row>
    <row r="172" spans="1:11" x14ac:dyDescent="0.35">
      <c r="A172">
        <v>171</v>
      </c>
      <c r="B172" s="1">
        <v>44243</v>
      </c>
      <c r="C172" t="s">
        <v>19</v>
      </c>
      <c r="D172" t="s">
        <v>12</v>
      </c>
      <c r="E172">
        <v>9034945</v>
      </c>
      <c r="F172">
        <v>4319200</v>
      </c>
      <c r="G172">
        <v>143680</v>
      </c>
      <c r="H172">
        <v>21596</v>
      </c>
      <c r="I172">
        <v>432</v>
      </c>
      <c r="J172">
        <v>34</v>
      </c>
      <c r="K172">
        <v>171972</v>
      </c>
    </row>
    <row r="173" spans="1:11" x14ac:dyDescent="0.35">
      <c r="A173">
        <v>172</v>
      </c>
      <c r="B173" s="1">
        <v>44243</v>
      </c>
      <c r="C173" t="s">
        <v>20</v>
      </c>
      <c r="D173" t="s">
        <v>12</v>
      </c>
      <c r="E173">
        <v>983498</v>
      </c>
      <c r="F173">
        <v>15988504</v>
      </c>
      <c r="G173">
        <v>103731</v>
      </c>
      <c r="H173">
        <v>40794</v>
      </c>
      <c r="I173">
        <v>816</v>
      </c>
      <c r="J173">
        <v>24</v>
      </c>
      <c r="K173">
        <v>41424</v>
      </c>
    </row>
    <row r="174" spans="1:11" x14ac:dyDescent="0.35">
      <c r="A174">
        <v>173</v>
      </c>
      <c r="B174" s="1">
        <v>44243</v>
      </c>
      <c r="C174" t="s">
        <v>21</v>
      </c>
      <c r="D174" t="s">
        <v>12</v>
      </c>
      <c r="E174">
        <v>4387490</v>
      </c>
      <c r="F174">
        <v>80233</v>
      </c>
      <c r="G174">
        <v>31712</v>
      </c>
      <c r="H174">
        <v>2407</v>
      </c>
      <c r="I174">
        <v>48</v>
      </c>
      <c r="J174">
        <v>12</v>
      </c>
      <c r="K174">
        <v>59772</v>
      </c>
    </row>
    <row r="175" spans="1:11" x14ac:dyDescent="0.35">
      <c r="A175">
        <v>174</v>
      </c>
      <c r="B175" s="1">
        <v>44243</v>
      </c>
      <c r="C175" t="s">
        <v>22</v>
      </c>
      <c r="D175" t="s">
        <v>12</v>
      </c>
      <c r="E175">
        <v>544756</v>
      </c>
      <c r="F175">
        <v>1576818</v>
      </c>
      <c r="G175">
        <v>345629</v>
      </c>
      <c r="H175">
        <v>9597</v>
      </c>
      <c r="I175">
        <v>292</v>
      </c>
      <c r="J175">
        <v>39</v>
      </c>
      <c r="K175">
        <v>25857</v>
      </c>
    </row>
    <row r="176" spans="1:11" x14ac:dyDescent="0.35">
      <c r="A176">
        <v>175</v>
      </c>
      <c r="B176" s="1">
        <v>44243</v>
      </c>
      <c r="C176" t="s">
        <v>23</v>
      </c>
      <c r="D176" t="s">
        <v>18</v>
      </c>
      <c r="E176">
        <v>374754</v>
      </c>
      <c r="F176">
        <v>3937010</v>
      </c>
      <c r="G176">
        <v>620903</v>
      </c>
      <c r="H176">
        <v>23994</v>
      </c>
      <c r="I176">
        <v>833</v>
      </c>
      <c r="J176">
        <v>160</v>
      </c>
      <c r="K176">
        <v>939360</v>
      </c>
    </row>
    <row r="177" spans="1:11" x14ac:dyDescent="0.35">
      <c r="A177">
        <v>176</v>
      </c>
      <c r="B177" s="1">
        <v>44243</v>
      </c>
      <c r="C177" t="s">
        <v>24</v>
      </c>
      <c r="D177" t="s">
        <v>25</v>
      </c>
      <c r="E177">
        <v>39889</v>
      </c>
      <c r="F177">
        <v>56876855</v>
      </c>
      <c r="G177">
        <v>206424</v>
      </c>
      <c r="H177">
        <v>33592</v>
      </c>
      <c r="I177">
        <v>416</v>
      </c>
      <c r="J177">
        <v>62</v>
      </c>
      <c r="K177">
        <v>246822</v>
      </c>
    </row>
    <row r="178" spans="1:11" x14ac:dyDescent="0.35">
      <c r="A178">
        <v>177</v>
      </c>
      <c r="B178" s="1">
        <v>44244</v>
      </c>
      <c r="C178" t="s">
        <v>11</v>
      </c>
      <c r="D178" t="s">
        <v>12</v>
      </c>
      <c r="E178">
        <v>349043</v>
      </c>
      <c r="F178">
        <v>4320600</v>
      </c>
      <c r="G178">
        <v>489831</v>
      </c>
      <c r="H178">
        <v>21603</v>
      </c>
      <c r="I178">
        <v>652</v>
      </c>
      <c r="J178">
        <v>86</v>
      </c>
      <c r="K178">
        <v>428366</v>
      </c>
    </row>
    <row r="179" spans="1:11" x14ac:dyDescent="0.35">
      <c r="A179">
        <v>178</v>
      </c>
      <c r="B179" s="1">
        <v>44244</v>
      </c>
      <c r="C179" t="s">
        <v>13</v>
      </c>
      <c r="D179" t="s">
        <v>12</v>
      </c>
      <c r="E179">
        <v>348934</v>
      </c>
      <c r="F179">
        <v>6102420</v>
      </c>
      <c r="G179">
        <v>403691</v>
      </c>
      <c r="H179">
        <v>29704</v>
      </c>
      <c r="I179">
        <v>594</v>
      </c>
      <c r="J179">
        <v>61</v>
      </c>
      <c r="K179">
        <v>303841</v>
      </c>
    </row>
    <row r="180" spans="1:11" x14ac:dyDescent="0.35">
      <c r="A180">
        <v>179</v>
      </c>
      <c r="B180" s="1">
        <v>44244</v>
      </c>
      <c r="C180" t="s">
        <v>14</v>
      </c>
      <c r="D180" t="s">
        <v>15</v>
      </c>
      <c r="E180">
        <v>89459845</v>
      </c>
      <c r="F180">
        <v>490058</v>
      </c>
      <c r="G180">
        <v>116213</v>
      </c>
      <c r="H180">
        <v>8104</v>
      </c>
      <c r="I180">
        <v>162</v>
      </c>
      <c r="J180">
        <v>31</v>
      </c>
      <c r="K180">
        <v>227726</v>
      </c>
    </row>
    <row r="181" spans="1:11" x14ac:dyDescent="0.35">
      <c r="A181">
        <v>180</v>
      </c>
      <c r="B181" s="1">
        <v>44244</v>
      </c>
      <c r="C181" t="s">
        <v>16</v>
      </c>
      <c r="D181" t="s">
        <v>15</v>
      </c>
      <c r="E181">
        <v>127823</v>
      </c>
      <c r="F181">
        <v>4319200</v>
      </c>
      <c r="G181">
        <v>180223</v>
      </c>
      <c r="H181">
        <v>21596</v>
      </c>
      <c r="I181">
        <v>442</v>
      </c>
      <c r="J181">
        <v>44</v>
      </c>
      <c r="K181">
        <v>136708</v>
      </c>
    </row>
    <row r="182" spans="1:11" x14ac:dyDescent="0.35">
      <c r="A182">
        <v>181</v>
      </c>
      <c r="B182" s="1">
        <v>44244</v>
      </c>
      <c r="C182" t="s">
        <v>17</v>
      </c>
      <c r="D182" t="s">
        <v>18</v>
      </c>
      <c r="E182">
        <v>10934</v>
      </c>
      <c r="F182">
        <v>4049400</v>
      </c>
      <c r="G182">
        <v>363811</v>
      </c>
      <c r="H182">
        <v>40494</v>
      </c>
      <c r="I182">
        <v>746</v>
      </c>
      <c r="J182">
        <v>149</v>
      </c>
      <c r="K182">
        <v>1189170</v>
      </c>
    </row>
    <row r="183" spans="1:11" x14ac:dyDescent="0.35">
      <c r="A183">
        <v>182</v>
      </c>
      <c r="B183" s="1">
        <v>44244</v>
      </c>
      <c r="C183" t="s">
        <v>19</v>
      </c>
      <c r="D183" t="s">
        <v>12</v>
      </c>
      <c r="E183">
        <v>9034945</v>
      </c>
      <c r="F183">
        <v>4999407</v>
      </c>
      <c r="G183">
        <v>246023</v>
      </c>
      <c r="H183">
        <v>24294</v>
      </c>
      <c r="I183">
        <v>606</v>
      </c>
      <c r="J183">
        <v>73</v>
      </c>
      <c r="K183">
        <v>496546</v>
      </c>
    </row>
    <row r="184" spans="1:11" x14ac:dyDescent="0.35">
      <c r="A184">
        <v>183</v>
      </c>
      <c r="B184" s="1">
        <v>44244</v>
      </c>
      <c r="C184" t="s">
        <v>20</v>
      </c>
      <c r="D184" t="s">
        <v>12</v>
      </c>
      <c r="E184">
        <v>983498</v>
      </c>
      <c r="F184">
        <v>32964848</v>
      </c>
      <c r="G184">
        <v>162819</v>
      </c>
      <c r="H184">
        <v>45907</v>
      </c>
      <c r="I184">
        <v>974</v>
      </c>
      <c r="J184">
        <v>46</v>
      </c>
      <c r="K184">
        <v>121900</v>
      </c>
    </row>
    <row r="185" spans="1:11" x14ac:dyDescent="0.35">
      <c r="A185">
        <v>184</v>
      </c>
      <c r="B185" s="1">
        <v>44244</v>
      </c>
      <c r="C185" t="s">
        <v>21</v>
      </c>
      <c r="D185" t="s">
        <v>12</v>
      </c>
      <c r="E185">
        <v>4387490</v>
      </c>
      <c r="F185">
        <v>84332</v>
      </c>
      <c r="G185">
        <v>31422.5</v>
      </c>
      <c r="H185">
        <v>2698</v>
      </c>
      <c r="I185">
        <v>54</v>
      </c>
      <c r="J185">
        <v>11</v>
      </c>
      <c r="K185">
        <v>45441</v>
      </c>
    </row>
    <row r="186" spans="1:11" x14ac:dyDescent="0.35">
      <c r="A186">
        <v>185</v>
      </c>
      <c r="B186" s="1">
        <v>44244</v>
      </c>
      <c r="C186" t="s">
        <v>22</v>
      </c>
      <c r="D186" t="s">
        <v>12</v>
      </c>
      <c r="E186">
        <v>544756</v>
      </c>
      <c r="F186">
        <v>1361187</v>
      </c>
      <c r="G186">
        <v>291254</v>
      </c>
      <c r="H186">
        <v>10810</v>
      </c>
      <c r="I186">
        <v>216</v>
      </c>
      <c r="J186">
        <v>32</v>
      </c>
      <c r="K186">
        <v>31392</v>
      </c>
    </row>
    <row r="187" spans="1:11" x14ac:dyDescent="0.35">
      <c r="A187">
        <v>186</v>
      </c>
      <c r="B187" s="1">
        <v>44244</v>
      </c>
      <c r="C187" t="s">
        <v>23</v>
      </c>
      <c r="D187" t="s">
        <v>18</v>
      </c>
      <c r="E187">
        <v>374754</v>
      </c>
      <c r="F187">
        <v>2795511</v>
      </c>
      <c r="G187">
        <v>462606</v>
      </c>
      <c r="H187">
        <v>26990</v>
      </c>
      <c r="I187">
        <v>795</v>
      </c>
      <c r="J187">
        <v>119</v>
      </c>
      <c r="K187">
        <v>592739</v>
      </c>
    </row>
    <row r="188" spans="1:11" x14ac:dyDescent="0.35">
      <c r="A188">
        <v>187</v>
      </c>
      <c r="B188" s="1">
        <v>44244</v>
      </c>
      <c r="C188" t="s">
        <v>24</v>
      </c>
      <c r="D188" t="s">
        <v>25</v>
      </c>
      <c r="E188">
        <v>39889</v>
      </c>
      <c r="F188">
        <v>16553044</v>
      </c>
      <c r="G188">
        <v>523398</v>
      </c>
      <c r="H188">
        <v>37805</v>
      </c>
      <c r="I188">
        <v>756</v>
      </c>
      <c r="J188">
        <v>142</v>
      </c>
      <c r="K188">
        <v>565302</v>
      </c>
    </row>
    <row r="189" spans="1:11" x14ac:dyDescent="0.35">
      <c r="A189">
        <v>188</v>
      </c>
      <c r="B189" s="1">
        <v>44245</v>
      </c>
      <c r="C189" t="s">
        <v>11</v>
      </c>
      <c r="D189" t="s">
        <v>12</v>
      </c>
      <c r="E189">
        <v>349043</v>
      </c>
      <c r="F189">
        <v>4798200</v>
      </c>
      <c r="G189">
        <v>30892.2</v>
      </c>
      <c r="H189">
        <v>23991</v>
      </c>
      <c r="I189">
        <v>61</v>
      </c>
      <c r="J189">
        <v>6</v>
      </c>
      <c r="K189">
        <v>25686</v>
      </c>
    </row>
    <row r="190" spans="1:11" x14ac:dyDescent="0.35">
      <c r="A190">
        <v>189</v>
      </c>
      <c r="B190" s="1">
        <v>44245</v>
      </c>
      <c r="C190" t="s">
        <v>13</v>
      </c>
      <c r="D190" t="s">
        <v>12</v>
      </c>
      <c r="E190">
        <v>348934</v>
      </c>
      <c r="F190">
        <v>4678356</v>
      </c>
      <c r="G190">
        <v>373294</v>
      </c>
      <c r="H190">
        <v>33003</v>
      </c>
      <c r="I190">
        <v>1313</v>
      </c>
      <c r="J190">
        <v>51</v>
      </c>
      <c r="K190">
        <v>237711</v>
      </c>
    </row>
    <row r="191" spans="1:11" x14ac:dyDescent="0.35">
      <c r="A191">
        <v>190</v>
      </c>
      <c r="B191" s="1">
        <v>44245</v>
      </c>
      <c r="C191" t="s">
        <v>14</v>
      </c>
      <c r="D191" t="s">
        <v>15</v>
      </c>
      <c r="E191">
        <v>89459845</v>
      </c>
      <c r="F191">
        <v>527210</v>
      </c>
      <c r="G191">
        <v>119542</v>
      </c>
      <c r="H191">
        <v>9004</v>
      </c>
      <c r="I191">
        <v>162</v>
      </c>
      <c r="J191">
        <v>28</v>
      </c>
      <c r="K191">
        <v>214368</v>
      </c>
    </row>
    <row r="192" spans="1:11" x14ac:dyDescent="0.35">
      <c r="A192">
        <v>191</v>
      </c>
      <c r="B192" s="1">
        <v>44245</v>
      </c>
      <c r="C192" t="s">
        <v>16</v>
      </c>
      <c r="D192" t="s">
        <v>15</v>
      </c>
      <c r="E192">
        <v>127823</v>
      </c>
      <c r="F192">
        <v>10593685</v>
      </c>
      <c r="G192">
        <v>200986</v>
      </c>
      <c r="H192">
        <v>24005</v>
      </c>
      <c r="I192">
        <v>480</v>
      </c>
      <c r="J192">
        <v>43</v>
      </c>
      <c r="K192">
        <v>93353</v>
      </c>
    </row>
    <row r="193" spans="1:11" x14ac:dyDescent="0.35">
      <c r="A193">
        <v>192</v>
      </c>
      <c r="B193" s="1">
        <v>44245</v>
      </c>
      <c r="C193" t="s">
        <v>17</v>
      </c>
      <c r="D193" t="s">
        <v>18</v>
      </c>
      <c r="E193">
        <v>10934</v>
      </c>
      <c r="F193">
        <v>4064081</v>
      </c>
      <c r="G193">
        <v>86522.9</v>
      </c>
      <c r="H193">
        <v>45004</v>
      </c>
      <c r="I193">
        <v>144</v>
      </c>
      <c r="J193">
        <v>31</v>
      </c>
      <c r="K193">
        <v>256897</v>
      </c>
    </row>
    <row r="194" spans="1:11" x14ac:dyDescent="0.35">
      <c r="A194">
        <v>193</v>
      </c>
      <c r="B194" s="1">
        <v>44245</v>
      </c>
      <c r="C194" t="s">
        <v>19</v>
      </c>
      <c r="D194" t="s">
        <v>12</v>
      </c>
      <c r="E194">
        <v>9034945</v>
      </c>
      <c r="F194">
        <v>11212959</v>
      </c>
      <c r="G194">
        <v>241388</v>
      </c>
      <c r="H194">
        <v>27009</v>
      </c>
      <c r="I194">
        <v>599</v>
      </c>
      <c r="J194">
        <v>72</v>
      </c>
      <c r="K194">
        <v>430632</v>
      </c>
    </row>
    <row r="195" spans="1:11" x14ac:dyDescent="0.35">
      <c r="A195">
        <v>194</v>
      </c>
      <c r="B195" s="1">
        <v>44245</v>
      </c>
      <c r="C195" t="s">
        <v>20</v>
      </c>
      <c r="D195" t="s">
        <v>12</v>
      </c>
      <c r="E195">
        <v>983498</v>
      </c>
      <c r="F195">
        <v>13281923</v>
      </c>
      <c r="G195">
        <v>58596.4</v>
      </c>
      <c r="H195">
        <v>51000</v>
      </c>
      <c r="I195">
        <v>1020</v>
      </c>
      <c r="J195">
        <v>16</v>
      </c>
      <c r="K195">
        <v>36016</v>
      </c>
    </row>
    <row r="196" spans="1:11" x14ac:dyDescent="0.35">
      <c r="A196">
        <v>195</v>
      </c>
      <c r="B196" s="1">
        <v>44245</v>
      </c>
      <c r="C196" t="s">
        <v>21</v>
      </c>
      <c r="D196" t="s">
        <v>12</v>
      </c>
      <c r="E196">
        <v>4387490</v>
      </c>
      <c r="F196">
        <v>97885</v>
      </c>
      <c r="G196">
        <v>17176.7</v>
      </c>
      <c r="H196">
        <v>2991</v>
      </c>
      <c r="I196">
        <v>28</v>
      </c>
      <c r="J196">
        <v>6</v>
      </c>
      <c r="K196">
        <v>33930</v>
      </c>
    </row>
    <row r="197" spans="1:11" x14ac:dyDescent="0.35">
      <c r="A197">
        <v>196</v>
      </c>
      <c r="B197" s="1">
        <v>44245</v>
      </c>
      <c r="C197" t="s">
        <v>22</v>
      </c>
      <c r="D197" t="s">
        <v>12</v>
      </c>
      <c r="E197">
        <v>544756</v>
      </c>
      <c r="F197">
        <v>1181224</v>
      </c>
      <c r="G197">
        <v>171831</v>
      </c>
      <c r="H197">
        <v>11991</v>
      </c>
      <c r="I197">
        <v>128</v>
      </c>
      <c r="J197">
        <v>19</v>
      </c>
      <c r="K197">
        <v>17917</v>
      </c>
    </row>
    <row r="198" spans="1:11" x14ac:dyDescent="0.35">
      <c r="A198">
        <v>197</v>
      </c>
      <c r="B198" s="1">
        <v>44245</v>
      </c>
      <c r="C198" t="s">
        <v>23</v>
      </c>
      <c r="D198" t="s">
        <v>18</v>
      </c>
      <c r="E198">
        <v>374754</v>
      </c>
      <c r="F198">
        <v>2482796</v>
      </c>
      <c r="G198">
        <v>518530</v>
      </c>
      <c r="H198">
        <v>30000</v>
      </c>
      <c r="I198">
        <v>1032</v>
      </c>
      <c r="J198">
        <v>134</v>
      </c>
      <c r="K198">
        <v>796630</v>
      </c>
    </row>
    <row r="199" spans="1:11" x14ac:dyDescent="0.35">
      <c r="A199">
        <v>198</v>
      </c>
      <c r="B199" s="1">
        <v>44245</v>
      </c>
      <c r="C199" t="s">
        <v>24</v>
      </c>
      <c r="D199" t="s">
        <v>25</v>
      </c>
      <c r="E199">
        <v>39889</v>
      </c>
      <c r="F199">
        <v>419970000</v>
      </c>
      <c r="G199">
        <v>339735</v>
      </c>
      <c r="H199">
        <v>41997</v>
      </c>
      <c r="I199">
        <v>840</v>
      </c>
      <c r="J199">
        <v>114</v>
      </c>
      <c r="K199">
        <v>516420</v>
      </c>
    </row>
    <row r="200" spans="1:11" x14ac:dyDescent="0.35">
      <c r="A200">
        <v>199</v>
      </c>
      <c r="B200" s="1">
        <v>44246</v>
      </c>
      <c r="C200" t="s">
        <v>11</v>
      </c>
      <c r="D200" t="s">
        <v>12</v>
      </c>
      <c r="E200">
        <v>349043</v>
      </c>
      <c r="F200">
        <v>15345139</v>
      </c>
      <c r="G200">
        <v>53253.9</v>
      </c>
      <c r="H200">
        <v>26407</v>
      </c>
      <c r="I200">
        <v>71</v>
      </c>
      <c r="J200">
        <v>10</v>
      </c>
      <c r="K200">
        <v>44550</v>
      </c>
    </row>
    <row r="201" spans="1:11" x14ac:dyDescent="0.35">
      <c r="A201">
        <v>200</v>
      </c>
      <c r="B201" s="1">
        <v>44246</v>
      </c>
      <c r="C201" t="s">
        <v>13</v>
      </c>
      <c r="D201" t="s">
        <v>12</v>
      </c>
      <c r="E201">
        <v>348934</v>
      </c>
      <c r="F201">
        <v>7260800</v>
      </c>
      <c r="G201">
        <v>415376</v>
      </c>
      <c r="H201">
        <v>36304</v>
      </c>
      <c r="I201">
        <v>726</v>
      </c>
      <c r="J201">
        <v>58</v>
      </c>
      <c r="K201">
        <v>288898</v>
      </c>
    </row>
    <row r="202" spans="1:11" x14ac:dyDescent="0.35">
      <c r="A202">
        <v>201</v>
      </c>
      <c r="B202" s="1">
        <v>44246</v>
      </c>
      <c r="C202" t="s">
        <v>14</v>
      </c>
      <c r="D202" t="s">
        <v>15</v>
      </c>
      <c r="E202">
        <v>89459845</v>
      </c>
      <c r="F202">
        <v>413291</v>
      </c>
      <c r="G202">
        <v>9777.5499999999993</v>
      </c>
      <c r="H202">
        <v>9904</v>
      </c>
      <c r="I202">
        <v>14</v>
      </c>
      <c r="J202">
        <v>2</v>
      </c>
      <c r="K202">
        <v>15962</v>
      </c>
    </row>
    <row r="203" spans="1:11" x14ac:dyDescent="0.35">
      <c r="A203">
        <v>202</v>
      </c>
      <c r="B203" s="1">
        <v>44246</v>
      </c>
      <c r="C203" t="s">
        <v>16</v>
      </c>
      <c r="D203" t="s">
        <v>15</v>
      </c>
      <c r="E203">
        <v>127823</v>
      </c>
      <c r="F203">
        <v>8455475</v>
      </c>
      <c r="G203">
        <v>81623.5</v>
      </c>
      <c r="H203">
        <v>26406</v>
      </c>
      <c r="I203">
        <v>281</v>
      </c>
      <c r="J203">
        <v>20</v>
      </c>
      <c r="K203">
        <v>72300</v>
      </c>
    </row>
    <row r="204" spans="1:11" x14ac:dyDescent="0.35">
      <c r="A204">
        <v>203</v>
      </c>
      <c r="B204" s="1">
        <v>44246</v>
      </c>
      <c r="C204" t="s">
        <v>17</v>
      </c>
      <c r="D204" t="s">
        <v>18</v>
      </c>
      <c r="E204">
        <v>10934</v>
      </c>
      <c r="F204">
        <v>3801165</v>
      </c>
      <c r="G204">
        <v>880357</v>
      </c>
      <c r="H204">
        <v>49510</v>
      </c>
      <c r="I204">
        <v>1666</v>
      </c>
      <c r="J204">
        <v>369</v>
      </c>
      <c r="K204">
        <v>2812520</v>
      </c>
    </row>
    <row r="205" spans="1:11" x14ac:dyDescent="0.35">
      <c r="A205">
        <v>204</v>
      </c>
      <c r="B205" s="1">
        <v>44246</v>
      </c>
      <c r="C205" t="s">
        <v>19</v>
      </c>
      <c r="D205" t="s">
        <v>12</v>
      </c>
      <c r="E205">
        <v>9034945</v>
      </c>
      <c r="F205">
        <v>6168252</v>
      </c>
      <c r="G205">
        <v>300775</v>
      </c>
      <c r="H205">
        <v>29699</v>
      </c>
      <c r="I205">
        <v>1082</v>
      </c>
      <c r="J205">
        <v>96</v>
      </c>
      <c r="K205">
        <v>574176</v>
      </c>
    </row>
    <row r="206" spans="1:11" x14ac:dyDescent="0.35">
      <c r="A206">
        <v>205</v>
      </c>
      <c r="B206" s="1">
        <v>44246</v>
      </c>
      <c r="C206" t="s">
        <v>20</v>
      </c>
      <c r="D206" t="s">
        <v>12</v>
      </c>
      <c r="E206">
        <v>983498</v>
      </c>
      <c r="F206">
        <v>11222000</v>
      </c>
      <c r="G206">
        <v>9908.98</v>
      </c>
      <c r="H206">
        <v>56110</v>
      </c>
      <c r="I206">
        <v>185</v>
      </c>
      <c r="J206">
        <v>3</v>
      </c>
      <c r="K206">
        <v>3621</v>
      </c>
    </row>
    <row r="207" spans="1:11" x14ac:dyDescent="0.35">
      <c r="A207">
        <v>206</v>
      </c>
      <c r="B207" s="1">
        <v>44246</v>
      </c>
      <c r="C207" t="s">
        <v>21</v>
      </c>
      <c r="D207" t="s">
        <v>12</v>
      </c>
      <c r="E207">
        <v>4387490</v>
      </c>
      <c r="F207">
        <v>115166</v>
      </c>
      <c r="G207">
        <v>3173.41</v>
      </c>
      <c r="H207">
        <v>3297</v>
      </c>
      <c r="I207">
        <v>7</v>
      </c>
      <c r="J207">
        <v>1</v>
      </c>
      <c r="K207">
        <v>5199</v>
      </c>
    </row>
    <row r="208" spans="1:11" x14ac:dyDescent="0.35">
      <c r="A208">
        <v>207</v>
      </c>
      <c r="B208" s="1">
        <v>44246</v>
      </c>
      <c r="C208" t="s">
        <v>22</v>
      </c>
      <c r="D208" t="s">
        <v>12</v>
      </c>
      <c r="E208">
        <v>544756</v>
      </c>
      <c r="F208">
        <v>1320200</v>
      </c>
      <c r="G208">
        <v>440355</v>
      </c>
      <c r="H208">
        <v>13202</v>
      </c>
      <c r="I208">
        <v>264</v>
      </c>
      <c r="J208">
        <v>45</v>
      </c>
      <c r="K208">
        <v>80325</v>
      </c>
    </row>
    <row r="209" spans="1:11" x14ac:dyDescent="0.35">
      <c r="A209">
        <v>208</v>
      </c>
      <c r="B209" s="1">
        <v>44246</v>
      </c>
      <c r="C209" t="s">
        <v>23</v>
      </c>
      <c r="D209" t="s">
        <v>18</v>
      </c>
      <c r="E209">
        <v>374754</v>
      </c>
      <c r="F209">
        <v>3299900</v>
      </c>
      <c r="G209">
        <v>404285</v>
      </c>
      <c r="H209">
        <v>32999</v>
      </c>
      <c r="I209">
        <v>694</v>
      </c>
      <c r="J209">
        <v>104</v>
      </c>
      <c r="K209">
        <v>519272</v>
      </c>
    </row>
    <row r="210" spans="1:11" x14ac:dyDescent="0.35">
      <c r="A210">
        <v>209</v>
      </c>
      <c r="B210" s="1">
        <v>44246</v>
      </c>
      <c r="C210" t="s">
        <v>24</v>
      </c>
      <c r="D210" t="s">
        <v>25</v>
      </c>
      <c r="E210">
        <v>39889</v>
      </c>
      <c r="F210">
        <v>19065489</v>
      </c>
      <c r="G210">
        <v>492126</v>
      </c>
      <c r="H210">
        <v>46209</v>
      </c>
      <c r="I210">
        <v>924</v>
      </c>
      <c r="J210">
        <v>139</v>
      </c>
      <c r="K210">
        <v>556417</v>
      </c>
    </row>
    <row r="211" spans="1:11" x14ac:dyDescent="0.35">
      <c r="A211">
        <v>210</v>
      </c>
      <c r="B211" s="1">
        <v>44247</v>
      </c>
      <c r="C211" t="s">
        <v>11</v>
      </c>
      <c r="D211" t="s">
        <v>12</v>
      </c>
      <c r="E211">
        <v>349043</v>
      </c>
      <c r="F211">
        <v>9916906</v>
      </c>
      <c r="G211">
        <v>56874.2</v>
      </c>
      <c r="H211">
        <v>28796</v>
      </c>
      <c r="I211">
        <v>88</v>
      </c>
      <c r="J211">
        <v>12</v>
      </c>
      <c r="K211">
        <v>59772</v>
      </c>
    </row>
    <row r="212" spans="1:11" x14ac:dyDescent="0.35">
      <c r="A212">
        <v>211</v>
      </c>
      <c r="B212" s="1">
        <v>44247</v>
      </c>
      <c r="C212" t="s">
        <v>13</v>
      </c>
      <c r="D212" t="s">
        <v>12</v>
      </c>
      <c r="E212">
        <v>348934</v>
      </c>
      <c r="F212">
        <v>7918600</v>
      </c>
      <c r="G212">
        <v>455831</v>
      </c>
      <c r="H212">
        <v>39593</v>
      </c>
      <c r="I212">
        <v>853</v>
      </c>
      <c r="J212">
        <v>68</v>
      </c>
      <c r="K212">
        <v>387124</v>
      </c>
    </row>
    <row r="213" spans="1:11" x14ac:dyDescent="0.35">
      <c r="A213">
        <v>212</v>
      </c>
      <c r="B213" s="1">
        <v>44247</v>
      </c>
      <c r="C213" t="s">
        <v>14</v>
      </c>
      <c r="D213" t="s">
        <v>15</v>
      </c>
      <c r="E213">
        <v>89459845</v>
      </c>
      <c r="F213">
        <v>540450</v>
      </c>
      <c r="G213">
        <v>190469</v>
      </c>
      <c r="H213">
        <v>10809</v>
      </c>
      <c r="I213">
        <v>359</v>
      </c>
      <c r="J213">
        <v>47</v>
      </c>
      <c r="K213">
        <v>365378</v>
      </c>
    </row>
    <row r="214" spans="1:11" x14ac:dyDescent="0.35">
      <c r="A214">
        <v>213</v>
      </c>
      <c r="B214" s="1">
        <v>44247</v>
      </c>
      <c r="C214" t="s">
        <v>16</v>
      </c>
      <c r="D214" t="s">
        <v>15</v>
      </c>
      <c r="E214">
        <v>127823</v>
      </c>
      <c r="F214">
        <v>5762000</v>
      </c>
      <c r="G214">
        <v>435770</v>
      </c>
      <c r="H214">
        <v>28810</v>
      </c>
      <c r="I214">
        <v>732</v>
      </c>
      <c r="J214">
        <v>96</v>
      </c>
      <c r="K214">
        <v>253440</v>
      </c>
    </row>
    <row r="215" spans="1:11" x14ac:dyDescent="0.35">
      <c r="A215">
        <v>214</v>
      </c>
      <c r="B215" s="1">
        <v>44247</v>
      </c>
      <c r="C215" t="s">
        <v>17</v>
      </c>
      <c r="D215" t="s">
        <v>18</v>
      </c>
      <c r="E215">
        <v>10934</v>
      </c>
      <c r="F215">
        <v>5399300</v>
      </c>
      <c r="G215">
        <v>303860</v>
      </c>
      <c r="H215">
        <v>53993</v>
      </c>
      <c r="I215">
        <v>1094</v>
      </c>
      <c r="J215">
        <v>182</v>
      </c>
      <c r="K215">
        <v>1452540</v>
      </c>
    </row>
    <row r="216" spans="1:11" x14ac:dyDescent="0.35">
      <c r="A216">
        <v>215</v>
      </c>
      <c r="B216" s="1">
        <v>44247</v>
      </c>
      <c r="C216" t="s">
        <v>19</v>
      </c>
      <c r="D216" t="s">
        <v>12</v>
      </c>
      <c r="E216">
        <v>9034945</v>
      </c>
      <c r="F216">
        <v>7669421</v>
      </c>
      <c r="G216">
        <v>404737</v>
      </c>
      <c r="H216">
        <v>32395</v>
      </c>
      <c r="I216">
        <v>1003</v>
      </c>
      <c r="J216">
        <v>139</v>
      </c>
      <c r="K216">
        <v>847066</v>
      </c>
    </row>
    <row r="217" spans="1:11" x14ac:dyDescent="0.35">
      <c r="A217">
        <v>216</v>
      </c>
      <c r="B217" s="1">
        <v>44247</v>
      </c>
      <c r="C217" t="s">
        <v>20</v>
      </c>
      <c r="D217" t="s">
        <v>12</v>
      </c>
      <c r="E217">
        <v>983498</v>
      </c>
      <c r="F217">
        <v>12239000</v>
      </c>
      <c r="G217">
        <v>150065</v>
      </c>
      <c r="H217">
        <v>61195</v>
      </c>
      <c r="I217">
        <v>1224</v>
      </c>
      <c r="J217">
        <v>48</v>
      </c>
      <c r="K217">
        <v>73392</v>
      </c>
    </row>
    <row r="218" spans="1:11" x14ac:dyDescent="0.35">
      <c r="A218">
        <v>217</v>
      </c>
      <c r="B218" s="1">
        <v>44247</v>
      </c>
      <c r="C218" t="s">
        <v>21</v>
      </c>
      <c r="D218" t="s">
        <v>12</v>
      </c>
      <c r="E218">
        <v>4387490</v>
      </c>
      <c r="F218">
        <v>111784</v>
      </c>
      <c r="G218">
        <v>73587.5</v>
      </c>
      <c r="H218">
        <v>3594</v>
      </c>
      <c r="I218">
        <v>116</v>
      </c>
      <c r="J218">
        <v>24</v>
      </c>
      <c r="K218">
        <v>119544</v>
      </c>
    </row>
    <row r="219" spans="1:11" x14ac:dyDescent="0.35">
      <c r="A219">
        <v>218</v>
      </c>
      <c r="B219" s="1">
        <v>44247</v>
      </c>
      <c r="C219" t="s">
        <v>22</v>
      </c>
      <c r="D219" t="s">
        <v>12</v>
      </c>
      <c r="E219">
        <v>544756</v>
      </c>
      <c r="F219">
        <v>1118531</v>
      </c>
      <c r="G219">
        <v>173041</v>
      </c>
      <c r="H219">
        <v>14399</v>
      </c>
      <c r="I219">
        <v>113</v>
      </c>
      <c r="J219">
        <v>18</v>
      </c>
      <c r="K219">
        <v>17658</v>
      </c>
    </row>
    <row r="220" spans="1:11" x14ac:dyDescent="0.35">
      <c r="A220">
        <v>219</v>
      </c>
      <c r="B220" s="1">
        <v>44247</v>
      </c>
      <c r="C220" t="s">
        <v>23</v>
      </c>
      <c r="D220" t="s">
        <v>18</v>
      </c>
      <c r="E220">
        <v>374754</v>
      </c>
      <c r="F220">
        <v>5497354</v>
      </c>
      <c r="G220">
        <v>504576</v>
      </c>
      <c r="H220">
        <v>35994</v>
      </c>
      <c r="I220">
        <v>822</v>
      </c>
      <c r="J220">
        <v>137</v>
      </c>
      <c r="K220">
        <v>682397</v>
      </c>
    </row>
    <row r="221" spans="1:11" x14ac:dyDescent="0.35">
      <c r="A221">
        <v>220</v>
      </c>
      <c r="B221" s="1">
        <v>44247</v>
      </c>
      <c r="C221" t="s">
        <v>24</v>
      </c>
      <c r="D221" t="s">
        <v>25</v>
      </c>
      <c r="E221">
        <v>39889</v>
      </c>
      <c r="F221">
        <v>26012342</v>
      </c>
      <c r="G221">
        <v>750361</v>
      </c>
      <c r="H221">
        <v>50408</v>
      </c>
      <c r="I221">
        <v>1678</v>
      </c>
      <c r="J221">
        <v>252</v>
      </c>
      <c r="K221">
        <v>1003210</v>
      </c>
    </row>
    <row r="222" spans="1:11" x14ac:dyDescent="0.35">
      <c r="A222">
        <v>221</v>
      </c>
      <c r="B222" s="1">
        <v>44248</v>
      </c>
      <c r="C222" t="s">
        <v>11</v>
      </c>
      <c r="D222" t="s">
        <v>12</v>
      </c>
      <c r="E222">
        <v>349043</v>
      </c>
      <c r="F222">
        <v>478600</v>
      </c>
      <c r="G222">
        <v>38596.699999999997</v>
      </c>
      <c r="H222">
        <v>2393</v>
      </c>
      <c r="I222">
        <v>66</v>
      </c>
      <c r="J222">
        <v>7</v>
      </c>
      <c r="K222">
        <v>31094</v>
      </c>
    </row>
    <row r="223" spans="1:11" x14ac:dyDescent="0.35">
      <c r="A223">
        <v>222</v>
      </c>
      <c r="B223" s="1">
        <v>44248</v>
      </c>
      <c r="C223" t="s">
        <v>13</v>
      </c>
      <c r="D223" t="s">
        <v>12</v>
      </c>
      <c r="E223">
        <v>348934</v>
      </c>
      <c r="F223">
        <v>543787</v>
      </c>
      <c r="G223">
        <v>39481</v>
      </c>
      <c r="H223">
        <v>3299</v>
      </c>
      <c r="I223">
        <v>113</v>
      </c>
      <c r="J223">
        <v>6</v>
      </c>
      <c r="K223">
        <v>29538</v>
      </c>
    </row>
    <row r="224" spans="1:11" x14ac:dyDescent="0.35">
      <c r="A224">
        <v>223</v>
      </c>
      <c r="B224" s="1">
        <v>44248</v>
      </c>
      <c r="C224" t="s">
        <v>14</v>
      </c>
      <c r="D224" t="s">
        <v>15</v>
      </c>
      <c r="E224">
        <v>89459845</v>
      </c>
      <c r="F224">
        <v>49655</v>
      </c>
      <c r="G224">
        <v>9444.1200000000008</v>
      </c>
      <c r="H224">
        <v>907</v>
      </c>
      <c r="I224">
        <v>18</v>
      </c>
      <c r="J224">
        <v>2</v>
      </c>
      <c r="K224">
        <v>15962</v>
      </c>
    </row>
    <row r="225" spans="1:11" x14ac:dyDescent="0.35">
      <c r="A225">
        <v>224</v>
      </c>
      <c r="B225" s="1">
        <v>44248</v>
      </c>
      <c r="C225" t="s">
        <v>16</v>
      </c>
      <c r="D225" t="s">
        <v>15</v>
      </c>
      <c r="E225">
        <v>127823</v>
      </c>
      <c r="F225">
        <v>478400</v>
      </c>
      <c r="G225">
        <v>17476.2</v>
      </c>
      <c r="H225">
        <v>2392</v>
      </c>
      <c r="I225">
        <v>48</v>
      </c>
      <c r="J225">
        <v>5</v>
      </c>
      <c r="K225">
        <v>12910</v>
      </c>
    </row>
    <row r="226" spans="1:11" x14ac:dyDescent="0.35">
      <c r="A226">
        <v>225</v>
      </c>
      <c r="B226" s="1">
        <v>44248</v>
      </c>
      <c r="C226" t="s">
        <v>17</v>
      </c>
      <c r="D226" t="s">
        <v>18</v>
      </c>
      <c r="E226">
        <v>10934</v>
      </c>
      <c r="F226">
        <v>713896</v>
      </c>
      <c r="G226">
        <v>30801</v>
      </c>
      <c r="H226">
        <v>4507</v>
      </c>
      <c r="I226">
        <v>90</v>
      </c>
      <c r="J226">
        <v>20</v>
      </c>
      <c r="K226">
        <v>159620</v>
      </c>
    </row>
    <row r="227" spans="1:11" x14ac:dyDescent="0.35">
      <c r="A227">
        <v>226</v>
      </c>
      <c r="B227" s="1">
        <v>44248</v>
      </c>
      <c r="C227" t="s">
        <v>19</v>
      </c>
      <c r="D227" t="s">
        <v>12</v>
      </c>
      <c r="E227">
        <v>9034945</v>
      </c>
      <c r="F227">
        <v>555915</v>
      </c>
      <c r="G227">
        <v>29457.5</v>
      </c>
      <c r="H227">
        <v>2709</v>
      </c>
      <c r="I227">
        <v>60</v>
      </c>
      <c r="J227">
        <v>10</v>
      </c>
      <c r="K227">
        <v>55540</v>
      </c>
    </row>
    <row r="228" spans="1:11" x14ac:dyDescent="0.35">
      <c r="A228">
        <v>227</v>
      </c>
      <c r="B228" s="1">
        <v>44248</v>
      </c>
      <c r="C228" t="s">
        <v>20</v>
      </c>
      <c r="D228" t="s">
        <v>12</v>
      </c>
      <c r="E228">
        <v>983498</v>
      </c>
      <c r="F228">
        <v>781353</v>
      </c>
      <c r="G228">
        <v>12503.5</v>
      </c>
      <c r="H228">
        <v>5104</v>
      </c>
      <c r="I228">
        <v>102</v>
      </c>
      <c r="J228">
        <v>4</v>
      </c>
      <c r="K228">
        <v>7924</v>
      </c>
    </row>
    <row r="229" spans="1:11" x14ac:dyDescent="0.35">
      <c r="A229">
        <v>228</v>
      </c>
      <c r="B229" s="1">
        <v>44248</v>
      </c>
      <c r="C229" t="s">
        <v>21</v>
      </c>
      <c r="D229" t="s">
        <v>12</v>
      </c>
      <c r="E229">
        <v>4387490</v>
      </c>
      <c r="F229">
        <v>10812</v>
      </c>
      <c r="G229">
        <v>1555.96</v>
      </c>
      <c r="H229">
        <v>296</v>
      </c>
      <c r="I229">
        <v>3</v>
      </c>
      <c r="J229">
        <v>1</v>
      </c>
      <c r="K229">
        <v>3993</v>
      </c>
    </row>
    <row r="230" spans="1:11" x14ac:dyDescent="0.35">
      <c r="A230">
        <v>229</v>
      </c>
      <c r="B230" s="1">
        <v>44248</v>
      </c>
      <c r="C230" t="s">
        <v>22</v>
      </c>
      <c r="D230" t="s">
        <v>12</v>
      </c>
      <c r="E230">
        <v>544756</v>
      </c>
      <c r="F230">
        <v>119400</v>
      </c>
      <c r="G230">
        <v>32169.9</v>
      </c>
      <c r="H230">
        <v>1194</v>
      </c>
      <c r="I230">
        <v>24</v>
      </c>
      <c r="J230">
        <v>4</v>
      </c>
      <c r="K230">
        <v>3924</v>
      </c>
    </row>
    <row r="231" spans="1:11" x14ac:dyDescent="0.35">
      <c r="A231">
        <v>230</v>
      </c>
      <c r="B231" s="1">
        <v>44248</v>
      </c>
      <c r="C231" t="s">
        <v>23</v>
      </c>
      <c r="D231" t="s">
        <v>18</v>
      </c>
      <c r="E231">
        <v>374754</v>
      </c>
      <c r="F231">
        <v>300900</v>
      </c>
      <c r="G231">
        <v>65006.3</v>
      </c>
      <c r="H231">
        <v>3009</v>
      </c>
      <c r="I231">
        <v>89</v>
      </c>
      <c r="J231">
        <v>17</v>
      </c>
      <c r="K231">
        <v>84677</v>
      </c>
    </row>
    <row r="232" spans="1:11" x14ac:dyDescent="0.35">
      <c r="A232">
        <v>231</v>
      </c>
      <c r="B232" s="1">
        <v>44248</v>
      </c>
      <c r="C232" t="s">
        <v>24</v>
      </c>
      <c r="D232" t="s">
        <v>25</v>
      </c>
      <c r="E232">
        <v>39889</v>
      </c>
      <c r="F232">
        <v>42080000</v>
      </c>
      <c r="G232">
        <v>25023.200000000001</v>
      </c>
      <c r="H232">
        <v>4208</v>
      </c>
      <c r="I232">
        <v>67</v>
      </c>
      <c r="J232">
        <v>10</v>
      </c>
      <c r="K232">
        <v>31710</v>
      </c>
    </row>
    <row r="233" spans="1:11" x14ac:dyDescent="0.35">
      <c r="A233">
        <v>232</v>
      </c>
      <c r="B233" s="1">
        <v>44249</v>
      </c>
      <c r="C233" t="s">
        <v>11</v>
      </c>
      <c r="D233" t="s">
        <v>12</v>
      </c>
      <c r="E233">
        <v>349043</v>
      </c>
      <c r="F233">
        <v>605386</v>
      </c>
      <c r="G233">
        <v>59710</v>
      </c>
      <c r="H233">
        <v>4802</v>
      </c>
      <c r="I233">
        <v>96</v>
      </c>
      <c r="J233">
        <v>12</v>
      </c>
      <c r="K233">
        <v>67632</v>
      </c>
    </row>
    <row r="234" spans="1:11" x14ac:dyDescent="0.35">
      <c r="A234">
        <v>233</v>
      </c>
      <c r="B234" s="1">
        <v>44249</v>
      </c>
      <c r="C234" t="s">
        <v>13</v>
      </c>
      <c r="D234" t="s">
        <v>12</v>
      </c>
      <c r="E234">
        <v>348934</v>
      </c>
      <c r="F234">
        <v>2090371</v>
      </c>
      <c r="G234">
        <v>95536.2</v>
      </c>
      <c r="H234">
        <v>6606</v>
      </c>
      <c r="I234">
        <v>132</v>
      </c>
      <c r="J234">
        <v>14</v>
      </c>
      <c r="K234">
        <v>69734</v>
      </c>
    </row>
    <row r="235" spans="1:11" x14ac:dyDescent="0.35">
      <c r="A235">
        <v>234</v>
      </c>
      <c r="B235" s="1">
        <v>44249</v>
      </c>
      <c r="C235" t="s">
        <v>14</v>
      </c>
      <c r="D235" t="s">
        <v>15</v>
      </c>
      <c r="E235">
        <v>89459845</v>
      </c>
      <c r="F235">
        <v>90500</v>
      </c>
      <c r="G235">
        <v>30645.4</v>
      </c>
      <c r="H235">
        <v>1810</v>
      </c>
      <c r="I235">
        <v>65</v>
      </c>
      <c r="J235">
        <v>7</v>
      </c>
      <c r="K235">
        <v>59045</v>
      </c>
    </row>
    <row r="236" spans="1:11" x14ac:dyDescent="0.35">
      <c r="A236">
        <v>235</v>
      </c>
      <c r="B236" s="1">
        <v>44249</v>
      </c>
      <c r="C236" t="s">
        <v>16</v>
      </c>
      <c r="D236" t="s">
        <v>15</v>
      </c>
      <c r="E236">
        <v>127823</v>
      </c>
      <c r="F236">
        <v>959600</v>
      </c>
      <c r="G236">
        <v>12348.3</v>
      </c>
      <c r="H236">
        <v>4798</v>
      </c>
      <c r="I236">
        <v>39</v>
      </c>
      <c r="J236">
        <v>4</v>
      </c>
      <c r="K236">
        <v>11924</v>
      </c>
    </row>
    <row r="237" spans="1:11" x14ac:dyDescent="0.35">
      <c r="A237">
        <v>236</v>
      </c>
      <c r="B237" s="1">
        <v>44249</v>
      </c>
      <c r="C237" t="s">
        <v>17</v>
      </c>
      <c r="D237" t="s">
        <v>18</v>
      </c>
      <c r="E237">
        <v>10934</v>
      </c>
      <c r="F237">
        <v>757387</v>
      </c>
      <c r="G237">
        <v>77803.8</v>
      </c>
      <c r="H237">
        <v>8997</v>
      </c>
      <c r="I237">
        <v>180</v>
      </c>
      <c r="J237">
        <v>42</v>
      </c>
      <c r="K237">
        <v>359394</v>
      </c>
    </row>
    <row r="238" spans="1:11" x14ac:dyDescent="0.35">
      <c r="A238">
        <v>237</v>
      </c>
      <c r="B238" s="1">
        <v>44249</v>
      </c>
      <c r="C238" t="s">
        <v>19</v>
      </c>
      <c r="D238" t="s">
        <v>12</v>
      </c>
      <c r="E238">
        <v>9034945</v>
      </c>
      <c r="F238">
        <v>4565811</v>
      </c>
      <c r="G238">
        <v>33474.699999999997</v>
      </c>
      <c r="H238">
        <v>5397</v>
      </c>
      <c r="I238">
        <v>108</v>
      </c>
      <c r="J238">
        <v>9</v>
      </c>
      <c r="K238">
        <v>53829</v>
      </c>
    </row>
    <row r="239" spans="1:11" x14ac:dyDescent="0.35">
      <c r="A239">
        <v>238</v>
      </c>
      <c r="B239" s="1">
        <v>44249</v>
      </c>
      <c r="C239" t="s">
        <v>20</v>
      </c>
      <c r="D239" t="s">
        <v>12</v>
      </c>
      <c r="E239">
        <v>983498</v>
      </c>
      <c r="F239">
        <v>2190892</v>
      </c>
      <c r="G239">
        <v>19196.599999999999</v>
      </c>
      <c r="H239">
        <v>10202</v>
      </c>
      <c r="I239">
        <v>124</v>
      </c>
      <c r="J239">
        <v>7</v>
      </c>
      <c r="K239">
        <v>14602</v>
      </c>
    </row>
    <row r="240" spans="1:11" x14ac:dyDescent="0.35">
      <c r="A240">
        <v>239</v>
      </c>
      <c r="B240" s="1">
        <v>44249</v>
      </c>
      <c r="C240" t="s">
        <v>21</v>
      </c>
      <c r="D240" t="s">
        <v>12</v>
      </c>
      <c r="E240">
        <v>4387490</v>
      </c>
      <c r="F240">
        <v>17821</v>
      </c>
      <c r="G240">
        <v>5792.48</v>
      </c>
      <c r="H240">
        <v>598</v>
      </c>
      <c r="I240">
        <v>12</v>
      </c>
      <c r="J240">
        <v>3</v>
      </c>
      <c r="K240">
        <v>12168</v>
      </c>
    </row>
    <row r="241" spans="1:11" x14ac:dyDescent="0.35">
      <c r="A241">
        <v>240</v>
      </c>
      <c r="B241" s="1">
        <v>44249</v>
      </c>
      <c r="C241" t="s">
        <v>22</v>
      </c>
      <c r="D241" t="s">
        <v>12</v>
      </c>
      <c r="E241">
        <v>544756</v>
      </c>
      <c r="F241">
        <v>239600</v>
      </c>
      <c r="G241">
        <v>51783.3</v>
      </c>
      <c r="H241">
        <v>2396</v>
      </c>
      <c r="I241">
        <v>48</v>
      </c>
      <c r="J241">
        <v>6</v>
      </c>
      <c r="K241">
        <v>5886</v>
      </c>
    </row>
    <row r="242" spans="1:11" x14ac:dyDescent="0.35">
      <c r="A242">
        <v>241</v>
      </c>
      <c r="B242" s="1">
        <v>44249</v>
      </c>
      <c r="C242" t="s">
        <v>23</v>
      </c>
      <c r="D242" t="s">
        <v>18</v>
      </c>
      <c r="E242">
        <v>374754</v>
      </c>
      <c r="F242">
        <v>599700</v>
      </c>
      <c r="G242">
        <v>137382</v>
      </c>
      <c r="H242">
        <v>5997</v>
      </c>
      <c r="I242">
        <v>236</v>
      </c>
      <c r="J242">
        <v>35</v>
      </c>
      <c r="K242">
        <v>158340</v>
      </c>
    </row>
    <row r="243" spans="1:11" x14ac:dyDescent="0.35">
      <c r="A243">
        <v>242</v>
      </c>
      <c r="B243" s="1">
        <v>44249</v>
      </c>
      <c r="C243" t="s">
        <v>24</v>
      </c>
      <c r="D243" t="s">
        <v>25</v>
      </c>
      <c r="E243">
        <v>39889</v>
      </c>
      <c r="F243">
        <v>105873774</v>
      </c>
      <c r="G243">
        <v>60021.599999999999</v>
      </c>
      <c r="H243">
        <v>8409</v>
      </c>
      <c r="I243">
        <v>168</v>
      </c>
      <c r="J243">
        <v>20</v>
      </c>
      <c r="K243">
        <v>80600</v>
      </c>
    </row>
    <row r="244" spans="1:11" x14ac:dyDescent="0.35">
      <c r="A244">
        <v>243</v>
      </c>
      <c r="B244" s="1">
        <v>44250</v>
      </c>
      <c r="C244" t="s">
        <v>11</v>
      </c>
      <c r="D244" t="s">
        <v>12</v>
      </c>
      <c r="E244">
        <v>349043</v>
      </c>
      <c r="F244">
        <v>924525</v>
      </c>
      <c r="G244">
        <v>9858.2800000000007</v>
      </c>
      <c r="H244">
        <v>1203</v>
      </c>
      <c r="I244">
        <v>28</v>
      </c>
      <c r="J244">
        <v>2</v>
      </c>
      <c r="K244">
        <v>9962</v>
      </c>
    </row>
    <row r="245" spans="1:11" x14ac:dyDescent="0.35">
      <c r="A245">
        <v>244</v>
      </c>
      <c r="B245" s="1">
        <v>44250</v>
      </c>
      <c r="C245" t="s">
        <v>13</v>
      </c>
      <c r="D245" t="s">
        <v>12</v>
      </c>
      <c r="E245">
        <v>348934</v>
      </c>
      <c r="F245">
        <v>475992</v>
      </c>
      <c r="G245">
        <v>19350</v>
      </c>
      <c r="H245">
        <v>1641</v>
      </c>
      <c r="I245">
        <v>37</v>
      </c>
      <c r="J245">
        <v>3</v>
      </c>
      <c r="K245">
        <v>12225</v>
      </c>
    </row>
    <row r="246" spans="1:11" x14ac:dyDescent="0.35">
      <c r="A246">
        <v>245</v>
      </c>
      <c r="B246" s="1">
        <v>44250</v>
      </c>
      <c r="C246" t="s">
        <v>14</v>
      </c>
      <c r="D246" t="s">
        <v>15</v>
      </c>
      <c r="E246">
        <v>89459845</v>
      </c>
      <c r="F246">
        <v>22175</v>
      </c>
      <c r="G246">
        <v>5409.21</v>
      </c>
      <c r="H246">
        <v>442</v>
      </c>
      <c r="I246">
        <v>9</v>
      </c>
      <c r="J246">
        <v>2</v>
      </c>
      <c r="K246">
        <v>15050</v>
      </c>
    </row>
    <row r="247" spans="1:11" x14ac:dyDescent="0.35">
      <c r="A247">
        <v>246</v>
      </c>
      <c r="B247" s="1">
        <v>44250</v>
      </c>
      <c r="C247" t="s">
        <v>16</v>
      </c>
      <c r="D247" t="s">
        <v>15</v>
      </c>
      <c r="E247">
        <v>127823</v>
      </c>
      <c r="F247">
        <v>241000</v>
      </c>
      <c r="G247">
        <v>12581.6</v>
      </c>
      <c r="H247">
        <v>1205</v>
      </c>
      <c r="I247">
        <v>24</v>
      </c>
      <c r="J247">
        <v>3</v>
      </c>
      <c r="K247">
        <v>8943</v>
      </c>
    </row>
    <row r="248" spans="1:11" x14ac:dyDescent="0.35">
      <c r="A248">
        <v>247</v>
      </c>
      <c r="B248" s="1">
        <v>44250</v>
      </c>
      <c r="C248" t="s">
        <v>17</v>
      </c>
      <c r="D248" t="s">
        <v>18</v>
      </c>
      <c r="E248">
        <v>10934</v>
      </c>
      <c r="F248">
        <v>297609</v>
      </c>
      <c r="G248">
        <v>16343</v>
      </c>
      <c r="H248">
        <v>2246</v>
      </c>
      <c r="I248">
        <v>45</v>
      </c>
      <c r="J248">
        <v>8</v>
      </c>
      <c r="K248">
        <v>63848</v>
      </c>
    </row>
    <row r="249" spans="1:11" x14ac:dyDescent="0.35">
      <c r="A249">
        <v>248</v>
      </c>
      <c r="B249" s="1">
        <v>44250</v>
      </c>
      <c r="C249" t="s">
        <v>19</v>
      </c>
      <c r="D249" t="s">
        <v>12</v>
      </c>
      <c r="E249">
        <v>9034945</v>
      </c>
      <c r="F249">
        <v>536236</v>
      </c>
      <c r="G249">
        <v>557.25</v>
      </c>
      <c r="H249">
        <v>1349</v>
      </c>
      <c r="I249">
        <v>1</v>
      </c>
      <c r="J249">
        <v>0</v>
      </c>
      <c r="K249">
        <v>0</v>
      </c>
    </row>
    <row r="250" spans="1:11" x14ac:dyDescent="0.35">
      <c r="A250">
        <v>249</v>
      </c>
      <c r="B250" s="1">
        <v>44250</v>
      </c>
      <c r="C250" t="s">
        <v>20</v>
      </c>
      <c r="D250" t="s">
        <v>12</v>
      </c>
      <c r="E250">
        <v>983498</v>
      </c>
      <c r="F250">
        <v>512000</v>
      </c>
      <c r="G250">
        <v>4285.4399999999996</v>
      </c>
      <c r="H250">
        <v>2560</v>
      </c>
      <c r="I250">
        <v>51</v>
      </c>
      <c r="J250">
        <v>2</v>
      </c>
      <c r="K250">
        <v>2934</v>
      </c>
    </row>
    <row r="251" spans="1:11" x14ac:dyDescent="0.35">
      <c r="A251">
        <v>250</v>
      </c>
      <c r="B251" s="1">
        <v>44250</v>
      </c>
      <c r="C251" t="s">
        <v>21</v>
      </c>
      <c r="D251" t="s">
        <v>12</v>
      </c>
      <c r="E251">
        <v>4387490</v>
      </c>
      <c r="F251">
        <v>4908</v>
      </c>
      <c r="G251">
        <v>1238.0899999999999</v>
      </c>
      <c r="H251">
        <v>155</v>
      </c>
      <c r="I251">
        <v>3</v>
      </c>
      <c r="J251">
        <v>1</v>
      </c>
      <c r="K251">
        <v>5265</v>
      </c>
    </row>
    <row r="252" spans="1:11" x14ac:dyDescent="0.35">
      <c r="A252">
        <v>251</v>
      </c>
      <c r="B252" s="1">
        <v>44250</v>
      </c>
      <c r="C252" t="s">
        <v>22</v>
      </c>
      <c r="D252" t="s">
        <v>12</v>
      </c>
      <c r="E252">
        <v>544756</v>
      </c>
      <c r="F252">
        <v>60800</v>
      </c>
      <c r="G252">
        <v>16078.6</v>
      </c>
      <c r="H252">
        <v>608</v>
      </c>
      <c r="I252">
        <v>12</v>
      </c>
      <c r="J252">
        <v>2</v>
      </c>
      <c r="K252">
        <v>2720</v>
      </c>
    </row>
    <row r="253" spans="1:11" x14ac:dyDescent="0.35">
      <c r="A253">
        <v>252</v>
      </c>
      <c r="B253" s="1">
        <v>44250</v>
      </c>
      <c r="C253" t="s">
        <v>23</v>
      </c>
      <c r="D253" t="s">
        <v>18</v>
      </c>
      <c r="E253">
        <v>374754</v>
      </c>
      <c r="F253">
        <v>117218</v>
      </c>
      <c r="G253">
        <v>15435</v>
      </c>
      <c r="H253">
        <v>1500</v>
      </c>
      <c r="I253">
        <v>31</v>
      </c>
      <c r="J253">
        <v>4</v>
      </c>
      <c r="K253">
        <v>17816</v>
      </c>
    </row>
    <row r="254" spans="1:11" x14ac:dyDescent="0.35">
      <c r="A254">
        <v>253</v>
      </c>
      <c r="B254" s="1">
        <v>44250</v>
      </c>
      <c r="C254" t="s">
        <v>24</v>
      </c>
      <c r="D254" t="s">
        <v>25</v>
      </c>
      <c r="E254">
        <v>39889</v>
      </c>
      <c r="F254">
        <v>654544</v>
      </c>
      <c r="G254">
        <v>16706.400000000001</v>
      </c>
      <c r="H254">
        <v>2099</v>
      </c>
      <c r="I254">
        <v>42</v>
      </c>
      <c r="J254">
        <v>6</v>
      </c>
      <c r="K254">
        <v>23886</v>
      </c>
    </row>
    <row r="255" spans="1:11" x14ac:dyDescent="0.35">
      <c r="A255">
        <v>254</v>
      </c>
      <c r="B255" s="1">
        <v>44251</v>
      </c>
      <c r="C255" t="s">
        <v>11</v>
      </c>
      <c r="D255" t="s">
        <v>12</v>
      </c>
      <c r="E255">
        <v>349043</v>
      </c>
      <c r="F255">
        <v>479596</v>
      </c>
      <c r="G255">
        <v>94564.2</v>
      </c>
      <c r="H255">
        <v>2408</v>
      </c>
      <c r="I255">
        <v>93</v>
      </c>
      <c r="J255">
        <v>15</v>
      </c>
      <c r="K255">
        <v>81825</v>
      </c>
    </row>
    <row r="256" spans="1:11" x14ac:dyDescent="0.35">
      <c r="A256">
        <v>255</v>
      </c>
      <c r="B256" s="1">
        <v>44251</v>
      </c>
      <c r="C256" t="s">
        <v>13</v>
      </c>
      <c r="D256" t="s">
        <v>12</v>
      </c>
      <c r="E256">
        <v>348934</v>
      </c>
      <c r="F256">
        <v>395127</v>
      </c>
      <c r="G256">
        <v>44347.199999999997</v>
      </c>
      <c r="H256">
        <v>3297</v>
      </c>
      <c r="I256">
        <v>66</v>
      </c>
      <c r="J256">
        <v>7</v>
      </c>
      <c r="K256">
        <v>34867</v>
      </c>
    </row>
    <row r="257" spans="1:11" x14ac:dyDescent="0.35">
      <c r="A257">
        <v>256</v>
      </c>
      <c r="B257" s="1">
        <v>44251</v>
      </c>
      <c r="C257" t="s">
        <v>14</v>
      </c>
      <c r="D257" t="s">
        <v>15</v>
      </c>
      <c r="E257">
        <v>89459845</v>
      </c>
      <c r="F257">
        <v>45150</v>
      </c>
      <c r="G257">
        <v>14306.2</v>
      </c>
      <c r="H257">
        <v>903</v>
      </c>
      <c r="I257">
        <v>18</v>
      </c>
      <c r="J257">
        <v>3</v>
      </c>
      <c r="K257">
        <v>23943</v>
      </c>
    </row>
    <row r="258" spans="1:11" x14ac:dyDescent="0.35">
      <c r="A258">
        <v>257</v>
      </c>
      <c r="B258" s="1">
        <v>44251</v>
      </c>
      <c r="C258" t="s">
        <v>16</v>
      </c>
      <c r="D258" t="s">
        <v>15</v>
      </c>
      <c r="E258">
        <v>127823</v>
      </c>
      <c r="F258">
        <v>291441</v>
      </c>
      <c r="G258">
        <v>22357.599999999999</v>
      </c>
      <c r="H258">
        <v>2408</v>
      </c>
      <c r="I258">
        <v>52</v>
      </c>
      <c r="J258">
        <v>5</v>
      </c>
      <c r="K258">
        <v>19060</v>
      </c>
    </row>
    <row r="259" spans="1:11" x14ac:dyDescent="0.35">
      <c r="A259">
        <v>258</v>
      </c>
      <c r="B259" s="1">
        <v>44251</v>
      </c>
      <c r="C259" t="s">
        <v>17</v>
      </c>
      <c r="D259" t="s">
        <v>18</v>
      </c>
      <c r="E259">
        <v>10934</v>
      </c>
      <c r="F259">
        <v>409320</v>
      </c>
      <c r="G259">
        <v>22944.3</v>
      </c>
      <c r="H259">
        <v>4508</v>
      </c>
      <c r="I259">
        <v>65</v>
      </c>
      <c r="J259">
        <v>14</v>
      </c>
      <c r="K259">
        <v>111734</v>
      </c>
    </row>
    <row r="260" spans="1:11" x14ac:dyDescent="0.35">
      <c r="A260">
        <v>259</v>
      </c>
      <c r="B260" s="1">
        <v>44251</v>
      </c>
      <c r="C260" t="s">
        <v>19</v>
      </c>
      <c r="D260" t="s">
        <v>12</v>
      </c>
      <c r="E260">
        <v>9034945</v>
      </c>
      <c r="F260">
        <v>869482</v>
      </c>
      <c r="G260">
        <v>23908.400000000001</v>
      </c>
      <c r="H260">
        <v>2703</v>
      </c>
      <c r="I260">
        <v>42</v>
      </c>
      <c r="J260">
        <v>7</v>
      </c>
      <c r="K260">
        <v>36456</v>
      </c>
    </row>
    <row r="261" spans="1:11" x14ac:dyDescent="0.35">
      <c r="A261">
        <v>260</v>
      </c>
      <c r="B261" s="1">
        <v>44251</v>
      </c>
      <c r="C261" t="s">
        <v>20</v>
      </c>
      <c r="D261" t="s">
        <v>12</v>
      </c>
      <c r="E261">
        <v>983498</v>
      </c>
      <c r="F261">
        <v>624157</v>
      </c>
      <c r="G261">
        <v>18675</v>
      </c>
      <c r="H261">
        <v>5098</v>
      </c>
      <c r="I261">
        <v>122</v>
      </c>
      <c r="J261">
        <v>6</v>
      </c>
      <c r="K261">
        <v>10590</v>
      </c>
    </row>
    <row r="262" spans="1:11" x14ac:dyDescent="0.35">
      <c r="A262">
        <v>261</v>
      </c>
      <c r="B262" s="1">
        <v>44251</v>
      </c>
      <c r="C262" t="s">
        <v>21</v>
      </c>
      <c r="D262" t="s">
        <v>12</v>
      </c>
      <c r="E262">
        <v>4387490</v>
      </c>
      <c r="F262">
        <v>8966</v>
      </c>
      <c r="G262">
        <v>2857.1</v>
      </c>
      <c r="H262">
        <v>297</v>
      </c>
      <c r="I262">
        <v>6</v>
      </c>
      <c r="J262">
        <v>1</v>
      </c>
      <c r="K262">
        <v>4981</v>
      </c>
    </row>
    <row r="263" spans="1:11" x14ac:dyDescent="0.35">
      <c r="A263">
        <v>262</v>
      </c>
      <c r="B263" s="1">
        <v>44251</v>
      </c>
      <c r="C263" t="s">
        <v>22</v>
      </c>
      <c r="D263" t="s">
        <v>12</v>
      </c>
      <c r="E263">
        <v>544756</v>
      </c>
      <c r="F263">
        <v>148794</v>
      </c>
      <c r="G263">
        <v>48796.6</v>
      </c>
      <c r="H263">
        <v>1196</v>
      </c>
      <c r="I263">
        <v>38</v>
      </c>
      <c r="J263">
        <v>6</v>
      </c>
      <c r="K263">
        <v>8178</v>
      </c>
    </row>
    <row r="264" spans="1:11" x14ac:dyDescent="0.35">
      <c r="A264">
        <v>263</v>
      </c>
      <c r="B264" s="1">
        <v>44251</v>
      </c>
      <c r="C264" t="s">
        <v>23</v>
      </c>
      <c r="D264" t="s">
        <v>18</v>
      </c>
      <c r="E264">
        <v>374754</v>
      </c>
      <c r="F264">
        <v>355802</v>
      </c>
      <c r="G264">
        <v>42311.5</v>
      </c>
      <c r="H264">
        <v>2990</v>
      </c>
      <c r="I264">
        <v>60</v>
      </c>
      <c r="J264">
        <v>9</v>
      </c>
      <c r="K264">
        <v>44829</v>
      </c>
    </row>
    <row r="265" spans="1:11" x14ac:dyDescent="0.35">
      <c r="A265">
        <v>264</v>
      </c>
      <c r="B265" s="1">
        <v>44251</v>
      </c>
      <c r="C265" t="s">
        <v>24</v>
      </c>
      <c r="D265" t="s">
        <v>25</v>
      </c>
      <c r="E265">
        <v>39889</v>
      </c>
      <c r="F265">
        <v>2770687</v>
      </c>
      <c r="G265">
        <v>34169.9</v>
      </c>
      <c r="H265">
        <v>4205</v>
      </c>
      <c r="I265">
        <v>84</v>
      </c>
      <c r="J265">
        <v>16</v>
      </c>
      <c r="K265">
        <v>63696</v>
      </c>
    </row>
    <row r="266" spans="1:11" x14ac:dyDescent="0.35">
      <c r="A266">
        <v>265</v>
      </c>
      <c r="B266" s="1">
        <v>44252</v>
      </c>
      <c r="C266" t="s">
        <v>11</v>
      </c>
      <c r="D266" t="s">
        <v>12</v>
      </c>
      <c r="E266">
        <v>349043</v>
      </c>
      <c r="F266">
        <v>94600</v>
      </c>
      <c r="G266">
        <v>11230.2</v>
      </c>
      <c r="H266">
        <v>473</v>
      </c>
      <c r="I266">
        <v>15</v>
      </c>
      <c r="J266">
        <v>2</v>
      </c>
      <c r="K266">
        <v>10104</v>
      </c>
    </row>
    <row r="267" spans="1:11" x14ac:dyDescent="0.35">
      <c r="A267">
        <v>266</v>
      </c>
      <c r="B267" s="1">
        <v>44252</v>
      </c>
      <c r="C267" t="s">
        <v>13</v>
      </c>
      <c r="D267" t="s">
        <v>12</v>
      </c>
      <c r="E267">
        <v>348934</v>
      </c>
      <c r="F267">
        <v>131400</v>
      </c>
      <c r="G267">
        <v>10357</v>
      </c>
      <c r="H267">
        <v>657</v>
      </c>
      <c r="I267">
        <v>13</v>
      </c>
      <c r="J267">
        <v>2</v>
      </c>
      <c r="K267">
        <v>9962</v>
      </c>
    </row>
    <row r="268" spans="1:11" x14ac:dyDescent="0.35">
      <c r="A268">
        <v>267</v>
      </c>
      <c r="B268" s="1">
        <v>44252</v>
      </c>
      <c r="C268" t="s">
        <v>14</v>
      </c>
      <c r="D268" t="s">
        <v>15</v>
      </c>
      <c r="E268">
        <v>89459845</v>
      </c>
      <c r="F268">
        <v>8750</v>
      </c>
      <c r="G268">
        <v>1078.73</v>
      </c>
      <c r="H268">
        <v>175</v>
      </c>
      <c r="I268">
        <v>1</v>
      </c>
      <c r="J268">
        <v>0</v>
      </c>
      <c r="K268">
        <v>0</v>
      </c>
    </row>
    <row r="269" spans="1:11" x14ac:dyDescent="0.35">
      <c r="A269">
        <v>268</v>
      </c>
      <c r="B269" s="1">
        <v>44252</v>
      </c>
      <c r="C269" t="s">
        <v>16</v>
      </c>
      <c r="D269" t="s">
        <v>15</v>
      </c>
      <c r="E269">
        <v>127823</v>
      </c>
      <c r="F269">
        <v>61867</v>
      </c>
      <c r="G269">
        <v>9472.2199999999993</v>
      </c>
      <c r="H269">
        <v>487</v>
      </c>
      <c r="I269">
        <v>19</v>
      </c>
      <c r="J269">
        <v>2</v>
      </c>
      <c r="K269">
        <v>5730</v>
      </c>
    </row>
    <row r="270" spans="1:11" x14ac:dyDescent="0.35">
      <c r="A270">
        <v>269</v>
      </c>
      <c r="B270" s="1">
        <v>44252</v>
      </c>
      <c r="C270" t="s">
        <v>17</v>
      </c>
      <c r="D270" t="s">
        <v>18</v>
      </c>
      <c r="E270">
        <v>10934</v>
      </c>
      <c r="F270">
        <v>94976</v>
      </c>
      <c r="G270">
        <v>9034.91</v>
      </c>
      <c r="H270">
        <v>904</v>
      </c>
      <c r="I270">
        <v>22</v>
      </c>
      <c r="J270">
        <v>5</v>
      </c>
      <c r="K270">
        <v>38030</v>
      </c>
    </row>
    <row r="271" spans="1:11" x14ac:dyDescent="0.35">
      <c r="A271">
        <v>270</v>
      </c>
      <c r="B271" s="1">
        <v>44252</v>
      </c>
      <c r="C271" t="s">
        <v>19</v>
      </c>
      <c r="D271" t="s">
        <v>12</v>
      </c>
      <c r="E271">
        <v>9034945</v>
      </c>
      <c r="F271">
        <v>106000</v>
      </c>
      <c r="G271">
        <v>2304.0100000000002</v>
      </c>
      <c r="H271">
        <v>530</v>
      </c>
      <c r="I271">
        <v>6</v>
      </c>
      <c r="J271">
        <v>1</v>
      </c>
      <c r="K271">
        <v>5981</v>
      </c>
    </row>
    <row r="272" spans="1:11" x14ac:dyDescent="0.35">
      <c r="A272">
        <v>271</v>
      </c>
      <c r="B272" s="1">
        <v>44252</v>
      </c>
      <c r="C272" t="s">
        <v>20</v>
      </c>
      <c r="D272" t="s">
        <v>12</v>
      </c>
      <c r="E272">
        <v>983498</v>
      </c>
      <c r="F272">
        <v>115468</v>
      </c>
      <c r="G272">
        <v>2059.0300000000002</v>
      </c>
      <c r="H272">
        <v>1015</v>
      </c>
      <c r="I272">
        <v>20</v>
      </c>
      <c r="J272">
        <v>1</v>
      </c>
      <c r="K272">
        <v>1981</v>
      </c>
    </row>
    <row r="273" spans="1:11" x14ac:dyDescent="0.35">
      <c r="A273">
        <v>272</v>
      </c>
      <c r="B273" s="1">
        <v>44252</v>
      </c>
      <c r="C273" t="s">
        <v>21</v>
      </c>
      <c r="D273" t="s">
        <v>12</v>
      </c>
      <c r="E273">
        <v>4387490</v>
      </c>
      <c r="F273">
        <v>2214</v>
      </c>
      <c r="G273">
        <v>1487.47</v>
      </c>
      <c r="H273">
        <v>66</v>
      </c>
      <c r="I273">
        <v>3</v>
      </c>
      <c r="J273">
        <v>1</v>
      </c>
      <c r="K273">
        <v>4461</v>
      </c>
    </row>
    <row r="274" spans="1:11" x14ac:dyDescent="0.35">
      <c r="A274">
        <v>273</v>
      </c>
      <c r="B274" s="1">
        <v>44252</v>
      </c>
      <c r="C274" t="s">
        <v>22</v>
      </c>
      <c r="D274" t="s">
        <v>12</v>
      </c>
      <c r="E274">
        <v>544756</v>
      </c>
      <c r="F274">
        <v>25000</v>
      </c>
      <c r="G274">
        <v>5871.29</v>
      </c>
      <c r="H274">
        <v>250</v>
      </c>
      <c r="I274">
        <v>5</v>
      </c>
      <c r="J274">
        <v>1</v>
      </c>
      <c r="K274">
        <v>981</v>
      </c>
    </row>
    <row r="275" spans="1:11" x14ac:dyDescent="0.35">
      <c r="A275">
        <v>274</v>
      </c>
      <c r="B275" s="1">
        <v>44252</v>
      </c>
      <c r="C275" t="s">
        <v>23</v>
      </c>
      <c r="D275" t="s">
        <v>18</v>
      </c>
      <c r="E275">
        <v>374754</v>
      </c>
      <c r="F275">
        <v>46753</v>
      </c>
      <c r="G275">
        <v>6227.53</v>
      </c>
      <c r="H275">
        <v>591</v>
      </c>
      <c r="I275">
        <v>12</v>
      </c>
      <c r="J275">
        <v>2</v>
      </c>
      <c r="K275">
        <v>10130</v>
      </c>
    </row>
    <row r="276" spans="1:11" x14ac:dyDescent="0.35">
      <c r="A276">
        <v>275</v>
      </c>
      <c r="B276" s="1">
        <v>44252</v>
      </c>
      <c r="C276" t="s">
        <v>24</v>
      </c>
      <c r="D276" t="s">
        <v>25</v>
      </c>
      <c r="E276">
        <v>39889</v>
      </c>
      <c r="F276">
        <v>2885291</v>
      </c>
      <c r="G276">
        <v>7583.66</v>
      </c>
      <c r="H276">
        <v>848</v>
      </c>
      <c r="I276">
        <v>17</v>
      </c>
      <c r="J276">
        <v>3</v>
      </c>
      <c r="K276">
        <v>11943</v>
      </c>
    </row>
    <row r="277" spans="1:11" x14ac:dyDescent="0.35">
      <c r="A277">
        <v>276</v>
      </c>
      <c r="B277" s="1">
        <v>44253</v>
      </c>
      <c r="C277" t="s">
        <v>11</v>
      </c>
      <c r="D277" t="s">
        <v>12</v>
      </c>
      <c r="E277">
        <v>349043</v>
      </c>
      <c r="F277">
        <v>168408</v>
      </c>
      <c r="G277">
        <v>19887.7</v>
      </c>
      <c r="H277">
        <v>1207</v>
      </c>
      <c r="I277">
        <v>39</v>
      </c>
      <c r="J277">
        <v>4</v>
      </c>
      <c r="K277">
        <v>22488</v>
      </c>
    </row>
    <row r="278" spans="1:11" x14ac:dyDescent="0.35">
      <c r="A278">
        <v>277</v>
      </c>
      <c r="B278" s="1">
        <v>44253</v>
      </c>
      <c r="C278" t="s">
        <v>13</v>
      </c>
      <c r="D278" t="s">
        <v>12</v>
      </c>
      <c r="E278">
        <v>348934</v>
      </c>
      <c r="F278">
        <v>438858</v>
      </c>
      <c r="G278">
        <v>17935.400000000001</v>
      </c>
      <c r="H278">
        <v>1657</v>
      </c>
      <c r="I278">
        <v>33</v>
      </c>
      <c r="J278">
        <v>3</v>
      </c>
      <c r="K278">
        <v>15345</v>
      </c>
    </row>
    <row r="279" spans="1:11" x14ac:dyDescent="0.35">
      <c r="A279">
        <v>278</v>
      </c>
      <c r="B279" s="1">
        <v>44253</v>
      </c>
      <c r="C279" t="s">
        <v>14</v>
      </c>
      <c r="D279" t="s">
        <v>15</v>
      </c>
      <c r="E279">
        <v>89459845</v>
      </c>
      <c r="F279">
        <v>22450</v>
      </c>
      <c r="G279">
        <v>1545.74</v>
      </c>
      <c r="H279">
        <v>449</v>
      </c>
      <c r="I279">
        <v>2</v>
      </c>
      <c r="J279">
        <v>0</v>
      </c>
      <c r="K279">
        <v>0</v>
      </c>
    </row>
    <row r="280" spans="1:11" x14ac:dyDescent="0.35">
      <c r="A280">
        <v>279</v>
      </c>
      <c r="B280" s="1">
        <v>44253</v>
      </c>
      <c r="C280" t="s">
        <v>16</v>
      </c>
      <c r="D280" t="s">
        <v>15</v>
      </c>
      <c r="E280">
        <v>127823</v>
      </c>
      <c r="F280">
        <v>240600</v>
      </c>
      <c r="G280">
        <v>4453.1000000000004</v>
      </c>
      <c r="H280">
        <v>1203</v>
      </c>
      <c r="I280">
        <v>11</v>
      </c>
      <c r="J280">
        <v>1</v>
      </c>
      <c r="K280">
        <v>2283</v>
      </c>
    </row>
    <row r="281" spans="1:11" x14ac:dyDescent="0.35">
      <c r="A281">
        <v>280</v>
      </c>
      <c r="B281" s="1">
        <v>44253</v>
      </c>
      <c r="C281" t="s">
        <v>17</v>
      </c>
      <c r="D281" t="s">
        <v>18</v>
      </c>
      <c r="E281">
        <v>10934</v>
      </c>
      <c r="F281">
        <v>195016</v>
      </c>
      <c r="G281">
        <v>38804.199999999997</v>
      </c>
      <c r="H281">
        <v>2247</v>
      </c>
      <c r="I281">
        <v>82</v>
      </c>
      <c r="J281">
        <v>16</v>
      </c>
      <c r="K281">
        <v>127696</v>
      </c>
    </row>
    <row r="282" spans="1:11" x14ac:dyDescent="0.35">
      <c r="A282">
        <v>281</v>
      </c>
      <c r="B282" s="1">
        <v>44253</v>
      </c>
      <c r="C282" t="s">
        <v>19</v>
      </c>
      <c r="D282" t="s">
        <v>12</v>
      </c>
      <c r="E282">
        <v>9034945</v>
      </c>
      <c r="F282">
        <v>174375</v>
      </c>
      <c r="G282">
        <v>12592.4</v>
      </c>
      <c r="H282">
        <v>1342</v>
      </c>
      <c r="I282">
        <v>27</v>
      </c>
      <c r="J282">
        <v>4</v>
      </c>
      <c r="K282">
        <v>26556</v>
      </c>
    </row>
    <row r="283" spans="1:11" x14ac:dyDescent="0.35">
      <c r="A283">
        <v>282</v>
      </c>
      <c r="B283" s="1">
        <v>44253</v>
      </c>
      <c r="C283" t="s">
        <v>20</v>
      </c>
      <c r="D283" t="s">
        <v>12</v>
      </c>
      <c r="E283">
        <v>983498</v>
      </c>
      <c r="F283">
        <v>508600</v>
      </c>
      <c r="G283">
        <v>2403.54</v>
      </c>
      <c r="H283">
        <v>2543</v>
      </c>
      <c r="I283">
        <v>73</v>
      </c>
      <c r="J283">
        <v>1</v>
      </c>
      <c r="K283">
        <v>1981</v>
      </c>
    </row>
    <row r="284" spans="1:11" x14ac:dyDescent="0.35">
      <c r="A284">
        <v>283</v>
      </c>
      <c r="B284" s="1">
        <v>44253</v>
      </c>
      <c r="C284" t="s">
        <v>21</v>
      </c>
      <c r="D284" t="s">
        <v>12</v>
      </c>
      <c r="E284">
        <v>4387490</v>
      </c>
      <c r="F284">
        <v>4906</v>
      </c>
      <c r="G284">
        <v>1071.1600000000001</v>
      </c>
      <c r="H284">
        <v>143</v>
      </c>
      <c r="I284">
        <v>3</v>
      </c>
      <c r="J284">
        <v>1</v>
      </c>
      <c r="K284">
        <v>4981</v>
      </c>
    </row>
    <row r="285" spans="1:11" x14ac:dyDescent="0.35">
      <c r="A285">
        <v>284</v>
      </c>
      <c r="B285" s="1">
        <v>44253</v>
      </c>
      <c r="C285" t="s">
        <v>22</v>
      </c>
      <c r="D285" t="s">
        <v>12</v>
      </c>
      <c r="E285">
        <v>544756</v>
      </c>
      <c r="F285">
        <v>55269</v>
      </c>
      <c r="G285">
        <v>315.92</v>
      </c>
      <c r="H285">
        <v>610</v>
      </c>
      <c r="I285">
        <v>0</v>
      </c>
      <c r="J285">
        <v>0</v>
      </c>
      <c r="K285">
        <v>0</v>
      </c>
    </row>
    <row r="286" spans="1:11" x14ac:dyDescent="0.35">
      <c r="A286">
        <v>285</v>
      </c>
      <c r="B286" s="1">
        <v>44253</v>
      </c>
      <c r="C286" t="s">
        <v>23</v>
      </c>
      <c r="D286" t="s">
        <v>18</v>
      </c>
      <c r="E286">
        <v>374754</v>
      </c>
      <c r="F286">
        <v>192489</v>
      </c>
      <c r="G286">
        <v>15596</v>
      </c>
      <c r="H286">
        <v>1497</v>
      </c>
      <c r="I286">
        <v>34</v>
      </c>
      <c r="J286">
        <v>5</v>
      </c>
      <c r="K286">
        <v>25205</v>
      </c>
    </row>
    <row r="287" spans="1:11" x14ac:dyDescent="0.35">
      <c r="A287">
        <v>286</v>
      </c>
      <c r="B287" s="1">
        <v>44253</v>
      </c>
      <c r="C287" t="s">
        <v>24</v>
      </c>
      <c r="D287" t="s">
        <v>25</v>
      </c>
      <c r="E287">
        <v>39889</v>
      </c>
      <c r="F287">
        <v>20930000</v>
      </c>
      <c r="G287">
        <v>8087.73</v>
      </c>
      <c r="H287">
        <v>2093</v>
      </c>
      <c r="I287">
        <v>22</v>
      </c>
      <c r="J287">
        <v>3</v>
      </c>
      <c r="K287">
        <v>12213</v>
      </c>
    </row>
    <row r="288" spans="1:11" x14ac:dyDescent="0.35">
      <c r="A288">
        <v>287</v>
      </c>
      <c r="B288" s="1">
        <v>44254</v>
      </c>
      <c r="C288" t="s">
        <v>11</v>
      </c>
      <c r="D288" t="s">
        <v>12</v>
      </c>
      <c r="E288">
        <v>349043</v>
      </c>
      <c r="F288">
        <v>213771</v>
      </c>
      <c r="G288">
        <v>5003.33</v>
      </c>
      <c r="H288">
        <v>241</v>
      </c>
      <c r="I288">
        <v>9</v>
      </c>
      <c r="J288">
        <v>1</v>
      </c>
      <c r="K288">
        <v>4223</v>
      </c>
    </row>
    <row r="289" spans="1:11" x14ac:dyDescent="0.35">
      <c r="A289">
        <v>288</v>
      </c>
      <c r="B289" s="1">
        <v>44254</v>
      </c>
      <c r="C289" t="s">
        <v>13</v>
      </c>
      <c r="D289" t="s">
        <v>12</v>
      </c>
      <c r="E289">
        <v>348934</v>
      </c>
      <c r="F289">
        <v>66400</v>
      </c>
      <c r="G289">
        <v>3235.77</v>
      </c>
      <c r="H289">
        <v>332</v>
      </c>
      <c r="I289">
        <v>13</v>
      </c>
      <c r="J289">
        <v>0</v>
      </c>
      <c r="K289">
        <v>0</v>
      </c>
    </row>
    <row r="290" spans="1:11" x14ac:dyDescent="0.35">
      <c r="A290">
        <v>289</v>
      </c>
      <c r="B290" s="1">
        <v>44254</v>
      </c>
      <c r="C290" t="s">
        <v>14</v>
      </c>
      <c r="D290" t="s">
        <v>15</v>
      </c>
      <c r="E290">
        <v>89459845</v>
      </c>
      <c r="F290">
        <v>4662</v>
      </c>
      <c r="G290">
        <v>1754.25</v>
      </c>
      <c r="H290">
        <v>83</v>
      </c>
      <c r="I290">
        <v>2</v>
      </c>
      <c r="J290">
        <v>0</v>
      </c>
      <c r="K290">
        <v>0</v>
      </c>
    </row>
    <row r="291" spans="1:11" x14ac:dyDescent="0.35">
      <c r="A291">
        <v>290</v>
      </c>
      <c r="B291" s="1">
        <v>44254</v>
      </c>
      <c r="C291" t="s">
        <v>16</v>
      </c>
      <c r="D291" t="s">
        <v>15</v>
      </c>
      <c r="E291">
        <v>127823</v>
      </c>
      <c r="F291">
        <v>40004</v>
      </c>
      <c r="G291">
        <v>1487.24</v>
      </c>
      <c r="H291">
        <v>243</v>
      </c>
      <c r="I291">
        <v>5</v>
      </c>
      <c r="J291">
        <v>0</v>
      </c>
      <c r="K291">
        <v>0</v>
      </c>
    </row>
    <row r="292" spans="1:11" x14ac:dyDescent="0.35">
      <c r="A292">
        <v>291</v>
      </c>
      <c r="B292" s="1">
        <v>44254</v>
      </c>
      <c r="C292" t="s">
        <v>17</v>
      </c>
      <c r="D292" t="s">
        <v>18</v>
      </c>
      <c r="E292">
        <v>10934</v>
      </c>
      <c r="F292">
        <v>44000</v>
      </c>
      <c r="G292">
        <v>5721.83</v>
      </c>
      <c r="H292">
        <v>440</v>
      </c>
      <c r="I292">
        <v>15</v>
      </c>
      <c r="J292">
        <v>3</v>
      </c>
      <c r="K292">
        <v>23943</v>
      </c>
    </row>
    <row r="293" spans="1:11" x14ac:dyDescent="0.35">
      <c r="A293">
        <v>292</v>
      </c>
      <c r="B293" s="1">
        <v>44254</v>
      </c>
      <c r="C293" t="s">
        <v>19</v>
      </c>
      <c r="D293" t="s">
        <v>12</v>
      </c>
      <c r="E293">
        <v>9034945</v>
      </c>
      <c r="F293">
        <v>44112</v>
      </c>
      <c r="G293">
        <v>1832.16</v>
      </c>
      <c r="H293">
        <v>275</v>
      </c>
      <c r="I293">
        <v>6</v>
      </c>
      <c r="J293">
        <v>1</v>
      </c>
      <c r="K293">
        <v>5981</v>
      </c>
    </row>
    <row r="294" spans="1:11" x14ac:dyDescent="0.35">
      <c r="A294">
        <v>293</v>
      </c>
      <c r="B294" s="1">
        <v>44254</v>
      </c>
      <c r="C294" t="s">
        <v>20</v>
      </c>
      <c r="D294" t="s">
        <v>12</v>
      </c>
      <c r="E294">
        <v>983498</v>
      </c>
      <c r="F294">
        <v>78799</v>
      </c>
      <c r="G294">
        <v>254.14</v>
      </c>
      <c r="H294">
        <v>503</v>
      </c>
      <c r="I294">
        <v>3</v>
      </c>
      <c r="J294">
        <v>0</v>
      </c>
      <c r="K294">
        <v>0</v>
      </c>
    </row>
    <row r="295" spans="1:11" x14ac:dyDescent="0.35">
      <c r="A295">
        <v>294</v>
      </c>
      <c r="B295" s="1">
        <v>44254</v>
      </c>
      <c r="C295" t="s">
        <v>21</v>
      </c>
      <c r="D295" t="s">
        <v>12</v>
      </c>
      <c r="E295">
        <v>4387490</v>
      </c>
      <c r="F295">
        <v>667</v>
      </c>
      <c r="G295">
        <v>200.42</v>
      </c>
      <c r="H295">
        <v>20</v>
      </c>
      <c r="I295">
        <v>0</v>
      </c>
      <c r="J295">
        <v>0</v>
      </c>
      <c r="K295">
        <v>0</v>
      </c>
    </row>
    <row r="296" spans="1:11" x14ac:dyDescent="0.35">
      <c r="A296">
        <v>295</v>
      </c>
      <c r="B296" s="1">
        <v>44254</v>
      </c>
      <c r="C296" t="s">
        <v>22</v>
      </c>
      <c r="D296" t="s">
        <v>12</v>
      </c>
      <c r="E296">
        <v>544756</v>
      </c>
      <c r="F296">
        <v>13693</v>
      </c>
      <c r="G296">
        <v>3098.45</v>
      </c>
      <c r="H296">
        <v>115</v>
      </c>
      <c r="I296">
        <v>2</v>
      </c>
      <c r="J296">
        <v>0</v>
      </c>
      <c r="K296">
        <v>0</v>
      </c>
    </row>
    <row r="297" spans="1:11" x14ac:dyDescent="0.35">
      <c r="A297">
        <v>296</v>
      </c>
      <c r="B297" s="1">
        <v>44254</v>
      </c>
      <c r="C297" t="s">
        <v>23</v>
      </c>
      <c r="D297" t="s">
        <v>18</v>
      </c>
      <c r="E297">
        <v>374754</v>
      </c>
      <c r="F297">
        <v>24018</v>
      </c>
      <c r="G297">
        <v>3524.08</v>
      </c>
      <c r="H297">
        <v>298</v>
      </c>
      <c r="I297">
        <v>6</v>
      </c>
      <c r="J297">
        <v>1</v>
      </c>
      <c r="K297">
        <v>4661</v>
      </c>
    </row>
    <row r="298" spans="1:11" x14ac:dyDescent="0.35">
      <c r="A298">
        <v>297</v>
      </c>
      <c r="B298" s="1">
        <v>44254</v>
      </c>
      <c r="C298" t="s">
        <v>24</v>
      </c>
      <c r="D298" t="s">
        <v>25</v>
      </c>
      <c r="E298">
        <v>39889</v>
      </c>
      <c r="F298">
        <v>182546</v>
      </c>
      <c r="G298">
        <v>2791.06</v>
      </c>
      <c r="H298">
        <v>426</v>
      </c>
      <c r="I298">
        <v>9</v>
      </c>
      <c r="J298">
        <v>1</v>
      </c>
      <c r="K298">
        <v>3981</v>
      </c>
    </row>
    <row r="299" spans="1:11" x14ac:dyDescent="0.35">
      <c r="A299">
        <v>298</v>
      </c>
      <c r="B299" s="1">
        <v>44255</v>
      </c>
      <c r="C299" t="s">
        <v>11</v>
      </c>
      <c r="D299" t="s">
        <v>12</v>
      </c>
      <c r="E299">
        <v>349043</v>
      </c>
      <c r="F299">
        <v>97200</v>
      </c>
      <c r="G299">
        <v>6440.5</v>
      </c>
      <c r="H299">
        <v>486</v>
      </c>
      <c r="I299">
        <v>11</v>
      </c>
      <c r="J299">
        <v>1</v>
      </c>
      <c r="K299">
        <v>4981</v>
      </c>
    </row>
    <row r="300" spans="1:11" x14ac:dyDescent="0.35">
      <c r="A300">
        <v>299</v>
      </c>
      <c r="B300" s="1">
        <v>44255</v>
      </c>
      <c r="C300" t="s">
        <v>13</v>
      </c>
      <c r="D300" t="s">
        <v>12</v>
      </c>
      <c r="E300">
        <v>348934</v>
      </c>
      <c r="F300">
        <v>132200</v>
      </c>
      <c r="G300">
        <v>8665.5499999999993</v>
      </c>
      <c r="H300">
        <v>661</v>
      </c>
      <c r="I300">
        <v>13</v>
      </c>
      <c r="J300">
        <v>1</v>
      </c>
      <c r="K300">
        <v>5509</v>
      </c>
    </row>
    <row r="301" spans="1:11" x14ac:dyDescent="0.35">
      <c r="A301">
        <v>300</v>
      </c>
      <c r="B301" s="1">
        <v>44255</v>
      </c>
      <c r="C301" t="s">
        <v>14</v>
      </c>
      <c r="D301" t="s">
        <v>15</v>
      </c>
      <c r="E301">
        <v>89459845</v>
      </c>
      <c r="F301">
        <v>11554</v>
      </c>
      <c r="G301">
        <v>3529.73</v>
      </c>
      <c r="H301">
        <v>187</v>
      </c>
      <c r="I301">
        <v>5</v>
      </c>
      <c r="J301">
        <v>1</v>
      </c>
      <c r="K301">
        <v>8714</v>
      </c>
    </row>
    <row r="302" spans="1:11" x14ac:dyDescent="0.35">
      <c r="A302">
        <v>301</v>
      </c>
      <c r="B302" s="1">
        <v>44255</v>
      </c>
      <c r="C302" t="s">
        <v>16</v>
      </c>
      <c r="D302" t="s">
        <v>15</v>
      </c>
      <c r="E302">
        <v>127823</v>
      </c>
      <c r="F302">
        <v>55625</v>
      </c>
      <c r="G302">
        <v>384.75</v>
      </c>
      <c r="H302">
        <v>487</v>
      </c>
      <c r="I302">
        <v>1</v>
      </c>
      <c r="J302">
        <v>0</v>
      </c>
      <c r="K302">
        <v>0</v>
      </c>
    </row>
    <row r="303" spans="1:11" x14ac:dyDescent="0.35">
      <c r="A303">
        <v>302</v>
      </c>
      <c r="B303" s="1">
        <v>44255</v>
      </c>
      <c r="C303" t="s">
        <v>17</v>
      </c>
      <c r="D303" t="s">
        <v>18</v>
      </c>
      <c r="E303">
        <v>10934</v>
      </c>
      <c r="F303">
        <v>129025</v>
      </c>
      <c r="G303">
        <v>9892.77</v>
      </c>
      <c r="H303">
        <v>909</v>
      </c>
      <c r="I303">
        <v>21</v>
      </c>
      <c r="J303">
        <v>5</v>
      </c>
      <c r="K303">
        <v>37450</v>
      </c>
    </row>
    <row r="304" spans="1:11" x14ac:dyDescent="0.35">
      <c r="A304">
        <v>303</v>
      </c>
      <c r="B304" s="1">
        <v>44255</v>
      </c>
      <c r="C304" t="s">
        <v>19</v>
      </c>
      <c r="D304" t="s">
        <v>12</v>
      </c>
      <c r="E304">
        <v>9034945</v>
      </c>
      <c r="F304">
        <v>63566</v>
      </c>
      <c r="G304">
        <v>4950.74</v>
      </c>
      <c r="H304">
        <v>546</v>
      </c>
      <c r="I304">
        <v>12</v>
      </c>
      <c r="J304">
        <v>1</v>
      </c>
      <c r="K304">
        <v>5981</v>
      </c>
    </row>
    <row r="305" spans="1:11" x14ac:dyDescent="0.35">
      <c r="A305">
        <v>304</v>
      </c>
      <c r="B305" s="1">
        <v>44255</v>
      </c>
      <c r="C305" t="s">
        <v>20</v>
      </c>
      <c r="D305" t="s">
        <v>12</v>
      </c>
      <c r="E305">
        <v>983498</v>
      </c>
      <c r="F305">
        <v>775780</v>
      </c>
      <c r="G305">
        <v>760.75</v>
      </c>
      <c r="H305">
        <v>1024</v>
      </c>
      <c r="I305">
        <v>4</v>
      </c>
      <c r="J305">
        <v>0</v>
      </c>
      <c r="K305">
        <v>0</v>
      </c>
    </row>
    <row r="306" spans="1:11" x14ac:dyDescent="0.35">
      <c r="A306">
        <v>305</v>
      </c>
      <c r="B306" s="1">
        <v>44255</v>
      </c>
      <c r="C306" t="s">
        <v>21</v>
      </c>
      <c r="D306" t="s">
        <v>12</v>
      </c>
      <c r="E306">
        <v>4387490</v>
      </c>
      <c r="F306">
        <v>1933</v>
      </c>
      <c r="G306">
        <v>224.81</v>
      </c>
      <c r="H306">
        <v>58</v>
      </c>
      <c r="I306">
        <v>0</v>
      </c>
      <c r="J306">
        <v>0</v>
      </c>
      <c r="K306">
        <v>0</v>
      </c>
    </row>
    <row r="307" spans="1:11" x14ac:dyDescent="0.35">
      <c r="A307">
        <v>306</v>
      </c>
      <c r="B307" s="1">
        <v>44255</v>
      </c>
      <c r="C307" t="s">
        <v>22</v>
      </c>
      <c r="D307" t="s">
        <v>12</v>
      </c>
      <c r="E307">
        <v>544756</v>
      </c>
      <c r="F307">
        <v>25840</v>
      </c>
      <c r="G307">
        <v>6844.8</v>
      </c>
      <c r="H307">
        <v>248</v>
      </c>
      <c r="I307">
        <v>5</v>
      </c>
      <c r="J307">
        <v>1</v>
      </c>
      <c r="K307">
        <v>1491</v>
      </c>
    </row>
    <row r="308" spans="1:11" x14ac:dyDescent="0.35">
      <c r="A308">
        <v>307</v>
      </c>
      <c r="B308" s="1">
        <v>44255</v>
      </c>
      <c r="C308" t="s">
        <v>23</v>
      </c>
      <c r="D308" t="s">
        <v>18</v>
      </c>
      <c r="E308">
        <v>374754</v>
      </c>
      <c r="F308">
        <v>94058</v>
      </c>
      <c r="G308">
        <v>4845.6499999999996</v>
      </c>
      <c r="H308">
        <v>594</v>
      </c>
      <c r="I308">
        <v>12</v>
      </c>
      <c r="J308">
        <v>1</v>
      </c>
      <c r="K308">
        <v>5008</v>
      </c>
    </row>
    <row r="309" spans="1:11" x14ac:dyDescent="0.35">
      <c r="A309">
        <v>308</v>
      </c>
      <c r="B309" s="1">
        <v>44255</v>
      </c>
      <c r="C309" t="s">
        <v>24</v>
      </c>
      <c r="D309" t="s">
        <v>25</v>
      </c>
      <c r="E309">
        <v>39889</v>
      </c>
      <c r="F309">
        <v>8490000</v>
      </c>
      <c r="G309">
        <v>6822.62</v>
      </c>
      <c r="H309">
        <v>849</v>
      </c>
      <c r="I309">
        <v>18</v>
      </c>
      <c r="J309">
        <v>2</v>
      </c>
      <c r="K309">
        <v>7030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2B7DB-0889-4A93-A588-4484EB93F88C}">
  <dimension ref="A1:AE309"/>
  <sheetViews>
    <sheetView topLeftCell="N1" workbookViewId="0">
      <selection activeCell="AE8" sqref="AE8"/>
    </sheetView>
  </sheetViews>
  <sheetFormatPr defaultRowHeight="14.5" x14ac:dyDescent="0.35"/>
  <cols>
    <col min="1" max="1" width="13.81640625" customWidth="1"/>
    <col min="2" max="2" width="9.08984375" bestFit="1" customWidth="1"/>
    <col min="5" max="5" width="19" bestFit="1" customWidth="1"/>
    <col min="6" max="7" width="18.08984375" customWidth="1"/>
    <col min="8" max="8" width="10.1796875" customWidth="1"/>
    <col min="9" max="9" width="15.1796875" style="3" customWidth="1"/>
    <col min="10" max="10" width="14.6328125" style="7" bestFit="1" customWidth="1"/>
    <col min="11" max="11" width="10.1796875" style="7" bestFit="1" customWidth="1"/>
    <col min="12" max="12" width="9.1796875" style="7" bestFit="1" customWidth="1"/>
    <col min="13" max="13" width="8.7265625" style="7"/>
    <col min="14" max="14" width="10.08984375" style="2" customWidth="1"/>
    <col min="15" max="15" width="8.7265625" style="6"/>
    <col min="16" max="16" width="13.54296875" style="6" bestFit="1" customWidth="1"/>
    <col min="17" max="17" width="22.54296875" style="6" bestFit="1" customWidth="1"/>
    <col min="18" max="18" width="13.54296875" style="6" bestFit="1" customWidth="1"/>
    <col min="19" max="19" width="22.54296875" style="6" bestFit="1" customWidth="1"/>
    <col min="20" max="20" width="9.1796875" style="4" bestFit="1" customWidth="1"/>
    <col min="21" max="21" width="8.7265625" style="3"/>
    <col min="22" max="22" width="9.26953125" style="3" bestFit="1" customWidth="1"/>
    <col min="23" max="23" width="10.26953125" style="3" bestFit="1" customWidth="1"/>
    <col min="24" max="24" width="8.7265625" style="3"/>
    <col min="25" max="25" width="17.26953125" style="2" bestFit="1" customWidth="1"/>
    <col min="29" max="29" width="13" bestFit="1" customWidth="1"/>
  </cols>
  <sheetData>
    <row r="1" spans="1:31" x14ac:dyDescent="0.35">
      <c r="A1" t="s">
        <v>29</v>
      </c>
      <c r="B1" t="s">
        <v>26</v>
      </c>
      <c r="C1" t="s">
        <v>51</v>
      </c>
      <c r="D1" t="s">
        <v>49</v>
      </c>
      <c r="E1" t="s">
        <v>27</v>
      </c>
      <c r="F1" t="s">
        <v>50</v>
      </c>
      <c r="G1" t="s">
        <v>104</v>
      </c>
      <c r="H1" t="s">
        <v>28</v>
      </c>
      <c r="I1" s="3" t="s">
        <v>35</v>
      </c>
      <c r="J1" s="7" t="s">
        <v>30</v>
      </c>
      <c r="K1" s="7" t="s">
        <v>31</v>
      </c>
      <c r="L1" s="7" t="s">
        <v>32</v>
      </c>
      <c r="M1" s="7" t="s">
        <v>33</v>
      </c>
      <c r="N1" s="2" t="s">
        <v>34</v>
      </c>
      <c r="O1" s="6" t="s">
        <v>52</v>
      </c>
      <c r="P1" s="6" t="s">
        <v>53</v>
      </c>
      <c r="Q1" s="6" t="s">
        <v>89</v>
      </c>
      <c r="R1" s="6" t="s">
        <v>54</v>
      </c>
      <c r="S1" s="6" t="s">
        <v>90</v>
      </c>
      <c r="T1" s="4" t="s">
        <v>55</v>
      </c>
      <c r="U1" s="3" t="s">
        <v>56</v>
      </c>
      <c r="V1" s="3" t="s">
        <v>58</v>
      </c>
      <c r="W1" s="3" t="s">
        <v>57</v>
      </c>
      <c r="X1" s="3" t="s">
        <v>59</v>
      </c>
      <c r="Y1" s="2" t="s">
        <v>60</v>
      </c>
    </row>
    <row r="2" spans="1:31" x14ac:dyDescent="0.35">
      <c r="A2">
        <v>349043</v>
      </c>
      <c r="B2" s="1">
        <v>44228</v>
      </c>
      <c r="C2" s="1" t="str">
        <f>TEXT(Table1[[#This Row],[Date]],"dddd")</f>
        <v>Monday</v>
      </c>
      <c r="D2" s="1" t="str">
        <f>IF(WEEKDAY(Table1[[#This Row],[Date]],2)&gt;5,"Weekend","Weekday")</f>
        <v>Weekday</v>
      </c>
      <c r="E2" t="s">
        <v>36</v>
      </c>
      <c r="F2" t="str">
        <f>_xlfn.TEXTAFTER(Table1[[#This Row],[Campaign_Name]],"_")</f>
        <v>Tier1</v>
      </c>
      <c r="G2" t="str">
        <f>IF(ISNUMBER(SEARCH("Tier1",Table1[[#This Row],[Campaign_Name]])),"Tier1",IF(ISNUMBER(SEARCH("Tier2",Table1[[#This Row],[Campaign_Name]])),"Tier2","Not Applicable"))</f>
        <v>Tier1</v>
      </c>
      <c r="H2" t="s">
        <v>61</v>
      </c>
      <c r="I2" s="3">
        <v>7307.37</v>
      </c>
      <c r="J2" s="7">
        <v>148263</v>
      </c>
      <c r="K2" s="7">
        <v>1210</v>
      </c>
      <c r="L2" s="7">
        <v>13</v>
      </c>
      <c r="M2" s="7">
        <v>1</v>
      </c>
      <c r="N2" s="2">
        <v>4981</v>
      </c>
      <c r="O2" s="6">
        <f>Table1[[#This Row],[Clicks]]/Table1[[#This Row],[Impressions]]</f>
        <v>8.1611730505925274E-3</v>
      </c>
      <c r="P2" s="6">
        <f>Table1[[#This Row],[Leads]]/Table1[[#This Row],[Clicks]]</f>
        <v>1.0743801652892562E-2</v>
      </c>
      <c r="Q2" s="6" t="str">
        <f>IF(Table1[[#This Row],[Conversion1]]&gt;=2%,"High","Low")</f>
        <v>Low</v>
      </c>
      <c r="R2" s="6">
        <f>IFERROR(Table1[[#This Row],[Orders]]/Table1[[#This Row],[Leads]],0)</f>
        <v>7.6923076923076927E-2</v>
      </c>
      <c r="S2" s="6" t="str">
        <f>IF(Table1[[#This Row],[Conversion2]]&gt;=15%,"High","Low")</f>
        <v>Low</v>
      </c>
      <c r="T2" s="4">
        <f>IFERROR(Table1[[#This Row],[Revenue]]/Table1[[#This Row],[Orders]],0)</f>
        <v>4981</v>
      </c>
      <c r="U2" s="4">
        <f>Table1[[#This Row],[Market_Budget]]/Table1[[#This Row],[Clicks]]</f>
        <v>6.039148760330578</v>
      </c>
      <c r="V2" s="4">
        <f>IFERROR(Table1[[#This Row],[Market_Budget]]/Table1[[#This Row],[Leads]],0)</f>
        <v>562.10538461538465</v>
      </c>
      <c r="W2" s="4">
        <f>IFERROR(Table1[[#This Row],[Market_Budget]]/Table1[[#This Row],[Orders]],0)</f>
        <v>7307.37</v>
      </c>
      <c r="X2" s="16">
        <f>(Table1[[#This Row],[Revenue]]-Table1[[#This Row],[Market_Budget]])/Table1[[#This Row],[Market_Budget]]</f>
        <v>-0.31835940974659827</v>
      </c>
      <c r="Y2" s="5">
        <f>Table1[[#This Row],[Revenue]]-Table1[[#This Row],[Market_Budget]]</f>
        <v>-2326.37</v>
      </c>
    </row>
    <row r="3" spans="1:31" x14ac:dyDescent="0.35">
      <c r="A3">
        <v>348934</v>
      </c>
      <c r="B3" s="1">
        <v>44228</v>
      </c>
      <c r="C3" s="1" t="str">
        <f>TEXT(Table1[[#This Row],[Date]],"dddd")</f>
        <v>Monday</v>
      </c>
      <c r="D3" s="1" t="str">
        <f>IF(WEEKDAY(Table1[[#This Row],[Date]],2)&gt;5,"Weekend","Weekday")</f>
        <v>Weekday</v>
      </c>
      <c r="E3" t="s">
        <v>37</v>
      </c>
      <c r="F3" t="str">
        <f>_xlfn.TEXTAFTER(Table1[[#This Row],[Campaign_Name]],"_")</f>
        <v>Tier2</v>
      </c>
      <c r="G3" t="str">
        <f>IF(ISNUMBER(SEARCH("Tier1",Table1[[#This Row],[Campaign_Name]])),"Tier1",IF(ISNUMBER(SEARCH("Tier2",Table1[[#This Row],[Campaign_Name]])),"Tier2","Not Applicable"))</f>
        <v>Tier2</v>
      </c>
      <c r="H3" t="s">
        <v>61</v>
      </c>
      <c r="I3" s="3">
        <v>16300.2</v>
      </c>
      <c r="J3" s="7">
        <v>220688</v>
      </c>
      <c r="K3" s="7">
        <v>1640</v>
      </c>
      <c r="L3" s="7">
        <v>48</v>
      </c>
      <c r="M3" s="7">
        <v>3</v>
      </c>
      <c r="N3" s="2">
        <v>14962</v>
      </c>
      <c r="O3" s="6">
        <f>Table1[[#This Row],[Clicks]]/Table1[[#This Row],[Impressions]]</f>
        <v>7.4313057347930112E-3</v>
      </c>
      <c r="P3" s="6">
        <f>Table1[[#This Row],[Leads]]/Table1[[#This Row],[Clicks]]</f>
        <v>2.9268292682926831E-2</v>
      </c>
      <c r="Q3" s="6" t="str">
        <f>IF(Table1[[#This Row],[Conversion1]]&gt;=2%,"High","Low")</f>
        <v>High</v>
      </c>
      <c r="R3" s="6">
        <f>IFERROR(Table1[[#This Row],[Orders]]/Table1[[#This Row],[Leads]],0)</f>
        <v>6.25E-2</v>
      </c>
      <c r="S3" s="6" t="str">
        <f>IF(Table1[[#This Row],[Conversion2]]&gt;=15%,"High","Low")</f>
        <v>Low</v>
      </c>
      <c r="T3" s="4">
        <f>IFERROR(Table1[[#This Row],[Revenue]]/Table1[[#This Row],[Orders]],0)</f>
        <v>4987.333333333333</v>
      </c>
      <c r="U3" s="4">
        <f>Table1[[#This Row],[Market_Budget]]/Table1[[#This Row],[Clicks]]</f>
        <v>9.9391463414634149</v>
      </c>
      <c r="V3" s="4">
        <f>IFERROR(Table1[[#This Row],[Market_Budget]]/Table1[[#This Row],[Leads]],0)</f>
        <v>339.58750000000003</v>
      </c>
      <c r="W3" s="4">
        <f>IFERROR(Table1[[#This Row],[Market_Budget]]/Table1[[#This Row],[Orders]],0)</f>
        <v>5433.4000000000005</v>
      </c>
      <c r="X3" s="15">
        <f>(Table1[[#This Row],[Revenue]]-Table1[[#This Row],[Market_Budget]])/Table1[[#This Row],[Market_Budget]]</f>
        <v>-8.209715218218186E-2</v>
      </c>
      <c r="Y3" s="5">
        <f>Table1[[#This Row],[Revenue]]-Table1[[#This Row],[Market_Budget]]</f>
        <v>-1338.2000000000007</v>
      </c>
    </row>
    <row r="4" spans="1:31" x14ac:dyDescent="0.35">
      <c r="A4">
        <v>89459845</v>
      </c>
      <c r="B4" s="1">
        <v>44228</v>
      </c>
      <c r="C4" s="1" t="str">
        <f>TEXT(Table1[[#This Row],[Date]],"dddd")</f>
        <v>Monday</v>
      </c>
      <c r="D4" s="1" t="str">
        <f>IF(WEEKDAY(Table1[[#This Row],[Date]],2)&gt;5,"Weekend","Weekday")</f>
        <v>Weekday</v>
      </c>
      <c r="E4" t="s">
        <v>38</v>
      </c>
      <c r="F4" t="str">
        <f>_xlfn.TEXTAFTER(Table1[[#This Row],[Campaign_Name]],"_")</f>
        <v>Hot</v>
      </c>
      <c r="G4" t="str">
        <f>IF(ISNUMBER(SEARCH("Tier1",Table1[[#This Row],[Campaign_Name]])),"Tier1",IF(ISNUMBER(SEARCH("Tier2",Table1[[#This Row],[Campaign_Name]])),"Tier2","Not Applicable"))</f>
        <v>Not Applicable</v>
      </c>
      <c r="H4" t="s">
        <v>47</v>
      </c>
      <c r="I4" s="3">
        <v>5221.6000000000004</v>
      </c>
      <c r="J4" s="7">
        <v>22850</v>
      </c>
      <c r="K4" s="7">
        <v>457</v>
      </c>
      <c r="L4" s="7">
        <v>9</v>
      </c>
      <c r="M4" s="7">
        <v>1</v>
      </c>
      <c r="N4" s="2">
        <v>7981</v>
      </c>
      <c r="O4" s="6">
        <f>Table1[[#This Row],[Clicks]]/Table1[[#This Row],[Impressions]]</f>
        <v>0.02</v>
      </c>
      <c r="P4" s="6">
        <f>Table1[[#This Row],[Leads]]/Table1[[#This Row],[Clicks]]</f>
        <v>1.9693654266958426E-2</v>
      </c>
      <c r="Q4" s="6" t="str">
        <f>IF(Table1[[#This Row],[Conversion1]]&gt;=2%,"High","Low")</f>
        <v>Low</v>
      </c>
      <c r="R4" s="6">
        <f>IFERROR(Table1[[#This Row],[Orders]]/Table1[[#This Row],[Leads]],0)</f>
        <v>0.1111111111111111</v>
      </c>
      <c r="S4" s="6" t="str">
        <f>IF(Table1[[#This Row],[Conversion2]]&gt;=15%,"High","Low")</f>
        <v>Low</v>
      </c>
      <c r="T4" s="4">
        <f>IFERROR(Table1[[#This Row],[Revenue]]/Table1[[#This Row],[Orders]],0)</f>
        <v>7981</v>
      </c>
      <c r="U4" s="4">
        <f>Table1[[#This Row],[Market_Budget]]/Table1[[#This Row],[Clicks]]</f>
        <v>11.42582056892779</v>
      </c>
      <c r="V4" s="4">
        <f>IFERROR(Table1[[#This Row],[Market_Budget]]/Table1[[#This Row],[Leads]],0)</f>
        <v>580.17777777777781</v>
      </c>
      <c r="W4" s="4">
        <f>IFERROR(Table1[[#This Row],[Market_Budget]]/Table1[[#This Row],[Orders]],0)</f>
        <v>5221.6000000000004</v>
      </c>
      <c r="X4" s="15">
        <f>(Table1[[#This Row],[Revenue]]-Table1[[#This Row],[Market_Budget]])/Table1[[#This Row],[Market_Budget]]</f>
        <v>0.52845870997395428</v>
      </c>
      <c r="Y4" s="5">
        <f>Table1[[#This Row],[Revenue]]-Table1[[#This Row],[Market_Budget]]</f>
        <v>2759.3999999999996</v>
      </c>
      <c r="AC4" s="20"/>
    </row>
    <row r="5" spans="1:31" x14ac:dyDescent="0.35">
      <c r="A5">
        <v>127823</v>
      </c>
      <c r="B5" s="1">
        <v>44228</v>
      </c>
      <c r="C5" s="1" t="str">
        <f>TEXT(Table1[[#This Row],[Date]],"dddd")</f>
        <v>Monday</v>
      </c>
      <c r="D5" s="1" t="str">
        <f>IF(WEEKDAY(Table1[[#This Row],[Date]],2)&gt;5,"Weekend","Weekday")</f>
        <v>Weekday</v>
      </c>
      <c r="E5" t="s">
        <v>39</v>
      </c>
      <c r="F5" t="str">
        <f>_xlfn.TEXTAFTER(Table1[[#This Row],[Campaign_Name]],"_")</f>
        <v>Wide</v>
      </c>
      <c r="G5" t="str">
        <f>IF(ISNUMBER(SEARCH("Tier1",Table1[[#This Row],[Campaign_Name]])),"Tier1",IF(ISNUMBER(SEARCH("Tier2",Table1[[#This Row],[Campaign_Name]])),"Tier2","Not Applicable"))</f>
        <v>Not Applicable</v>
      </c>
      <c r="H5" t="s">
        <v>47</v>
      </c>
      <c r="I5" s="3">
        <v>6037</v>
      </c>
      <c r="J5" s="7">
        <v>147038</v>
      </c>
      <c r="K5" s="7">
        <v>1196</v>
      </c>
      <c r="L5" s="7">
        <v>24</v>
      </c>
      <c r="M5" s="7">
        <v>1</v>
      </c>
      <c r="N5" s="2">
        <v>2114</v>
      </c>
      <c r="O5" s="6">
        <f>Table1[[#This Row],[Clicks]]/Table1[[#This Row],[Impressions]]</f>
        <v>8.1339517675702872E-3</v>
      </c>
      <c r="P5" s="6">
        <f>Table1[[#This Row],[Leads]]/Table1[[#This Row],[Clicks]]</f>
        <v>2.0066889632107024E-2</v>
      </c>
      <c r="Q5" s="6" t="str">
        <f>IF(Table1[[#This Row],[Conversion1]]&gt;=2%,"High","Low")</f>
        <v>High</v>
      </c>
      <c r="R5" s="6">
        <f>IFERROR(Table1[[#This Row],[Orders]]/Table1[[#This Row],[Leads]],0)</f>
        <v>4.1666666666666664E-2</v>
      </c>
      <c r="S5" s="6" t="str">
        <f>IF(Table1[[#This Row],[Conversion2]]&gt;=15%,"High","Low")</f>
        <v>Low</v>
      </c>
      <c r="T5" s="4">
        <f>IFERROR(Table1[[#This Row],[Revenue]]/Table1[[#This Row],[Orders]],0)</f>
        <v>2114</v>
      </c>
      <c r="U5" s="4">
        <f>Table1[[#This Row],[Market_Budget]]/Table1[[#This Row],[Clicks]]</f>
        <v>5.0476588628762542</v>
      </c>
      <c r="V5" s="4">
        <f>IFERROR(Table1[[#This Row],[Market_Budget]]/Table1[[#This Row],[Leads]],0)</f>
        <v>251.54166666666666</v>
      </c>
      <c r="W5" s="4">
        <f>IFERROR(Table1[[#This Row],[Market_Budget]]/Table1[[#This Row],[Orders]],0)</f>
        <v>6037</v>
      </c>
      <c r="X5" s="15">
        <f>(Table1[[#This Row],[Revenue]]-Table1[[#This Row],[Market_Budget]])/Table1[[#This Row],[Market_Budget]]</f>
        <v>-0.64982607255259239</v>
      </c>
      <c r="Y5" s="5">
        <f>Table1[[#This Row],[Revenue]]-Table1[[#This Row],[Market_Budget]]</f>
        <v>-3923</v>
      </c>
      <c r="AC5" s="21"/>
      <c r="AE5" s="6" cm="1">
        <f t="array" ref="AE5">SUM(Table1[Leads]/SUM(Table1[Clicks]))</f>
        <v>2.1860256893602808E-2</v>
      </c>
    </row>
    <row r="6" spans="1:31" x14ac:dyDescent="0.35">
      <c r="A6">
        <v>10934</v>
      </c>
      <c r="B6" s="1">
        <v>44228</v>
      </c>
      <c r="C6" s="1" t="str">
        <f>TEXT(Table1[[#This Row],[Date]],"dddd")</f>
        <v>Monday</v>
      </c>
      <c r="D6" s="1" t="str">
        <f>IF(WEEKDAY(Table1[[#This Row],[Date]],2)&gt;5,"Weekend","Weekday")</f>
        <v>Weekday</v>
      </c>
      <c r="E6" t="s">
        <v>40</v>
      </c>
      <c r="F6" t="str">
        <f>_xlfn.TEXTAFTER(Table1[[#This Row],[Campaign_Name]],"_")</f>
        <v>Blogger</v>
      </c>
      <c r="G6" t="str">
        <f>IF(ISNUMBER(SEARCH("Tier1",Table1[[#This Row],[Campaign_Name]])),"Tier1",IF(ISNUMBER(SEARCH("Tier2",Table1[[#This Row],[Campaign_Name]])),"Tier2","Not Applicable"))</f>
        <v>Not Applicable</v>
      </c>
      <c r="H6" t="s">
        <v>48</v>
      </c>
      <c r="I6" s="3">
        <v>29962.2</v>
      </c>
      <c r="J6" s="7">
        <v>225800</v>
      </c>
      <c r="K6" s="7">
        <v>2258</v>
      </c>
      <c r="L6" s="7">
        <v>49</v>
      </c>
      <c r="M6" s="7">
        <v>10</v>
      </c>
      <c r="N6" s="2">
        <v>84490</v>
      </c>
      <c r="O6" s="6">
        <f>Table1[[#This Row],[Clicks]]/Table1[[#This Row],[Impressions]]</f>
        <v>0.01</v>
      </c>
      <c r="P6" s="6">
        <f>Table1[[#This Row],[Leads]]/Table1[[#This Row],[Clicks]]</f>
        <v>2.1700620017714792E-2</v>
      </c>
      <c r="Q6" s="6" t="str">
        <f>IF(Table1[[#This Row],[Conversion1]]&gt;=2%,"High","Low")</f>
        <v>High</v>
      </c>
      <c r="R6" s="6">
        <f>IFERROR(Table1[[#This Row],[Orders]]/Table1[[#This Row],[Leads]],0)</f>
        <v>0.20408163265306123</v>
      </c>
      <c r="S6" s="6" t="str">
        <f>IF(Table1[[#This Row],[Conversion2]]&gt;=15%,"High","Low")</f>
        <v>High</v>
      </c>
      <c r="T6" s="4">
        <f>IFERROR(Table1[[#This Row],[Revenue]]/Table1[[#This Row],[Orders]],0)</f>
        <v>8449</v>
      </c>
      <c r="U6" s="4">
        <f>Table1[[#This Row],[Market_Budget]]/Table1[[#This Row],[Clicks]]</f>
        <v>13.269353410097432</v>
      </c>
      <c r="V6" s="4">
        <f>IFERROR(Table1[[#This Row],[Market_Budget]]/Table1[[#This Row],[Leads]],0)</f>
        <v>611.47346938775513</v>
      </c>
      <c r="W6" s="4">
        <f>IFERROR(Table1[[#This Row],[Market_Budget]]/Table1[[#This Row],[Orders]],0)</f>
        <v>2996.2200000000003</v>
      </c>
      <c r="X6" s="15">
        <f>(Table1[[#This Row],[Revenue]]-Table1[[#This Row],[Market_Budget]])/Table1[[#This Row],[Market_Budget]]</f>
        <v>1.8198863901849665</v>
      </c>
      <c r="Y6" s="5">
        <f>Table1[[#This Row],[Revenue]]-Table1[[#This Row],[Market_Budget]]</f>
        <v>54527.8</v>
      </c>
    </row>
    <row r="7" spans="1:31" x14ac:dyDescent="0.35">
      <c r="A7">
        <v>9034945</v>
      </c>
      <c r="B7" s="1">
        <v>44228</v>
      </c>
      <c r="C7" s="1" t="str">
        <f>TEXT(Table1[[#This Row],[Date]],"dddd")</f>
        <v>Monday</v>
      </c>
      <c r="D7" s="1" t="str">
        <f>IF(WEEKDAY(Table1[[#This Row],[Date]],2)&gt;5,"Weekend","Weekday")</f>
        <v>Weekday</v>
      </c>
      <c r="E7" t="s">
        <v>41</v>
      </c>
      <c r="F7" t="str">
        <f>_xlfn.TEXTAFTER(Table1[[#This Row],[Campaign_Name]],"_")</f>
        <v>Tier1</v>
      </c>
      <c r="G7" t="str">
        <f>IF(ISNUMBER(SEARCH("Tier1",Table1[[#This Row],[Campaign_Name]])),"Tier1",IF(ISNUMBER(SEARCH("Tier2",Table1[[#This Row],[Campaign_Name]])),"Tier2","Not Applicable"))</f>
        <v>Tier1</v>
      </c>
      <c r="H7" t="s">
        <v>61</v>
      </c>
      <c r="I7" s="3">
        <v>9540.01</v>
      </c>
      <c r="J7" s="7">
        <v>444857</v>
      </c>
      <c r="K7" s="7">
        <v>1342</v>
      </c>
      <c r="L7" s="7">
        <v>27</v>
      </c>
      <c r="M7" s="7">
        <v>3</v>
      </c>
      <c r="N7" s="2">
        <v>17943</v>
      </c>
      <c r="O7" s="6">
        <f>Table1[[#This Row],[Clicks]]/Table1[[#This Row],[Impressions]]</f>
        <v>3.0166997484584934E-3</v>
      </c>
      <c r="P7" s="6">
        <f>Table1[[#This Row],[Leads]]/Table1[[#This Row],[Clicks]]</f>
        <v>2.0119225037257823E-2</v>
      </c>
      <c r="Q7" s="6" t="str">
        <f>IF(Table1[[#This Row],[Conversion1]]&gt;=2%,"High","Low")</f>
        <v>High</v>
      </c>
      <c r="R7" s="6">
        <f>IFERROR(Table1[[#This Row],[Orders]]/Table1[[#This Row],[Leads]],0)</f>
        <v>0.1111111111111111</v>
      </c>
      <c r="S7" s="6" t="str">
        <f>IF(Table1[[#This Row],[Conversion2]]&gt;=15%,"High","Low")</f>
        <v>Low</v>
      </c>
      <c r="T7" s="4">
        <f>IFERROR(Table1[[#This Row],[Revenue]]/Table1[[#This Row],[Orders]],0)</f>
        <v>5981</v>
      </c>
      <c r="U7" s="4">
        <f>Table1[[#This Row],[Market_Budget]]/Table1[[#This Row],[Clicks]]</f>
        <v>7.1088002980625937</v>
      </c>
      <c r="V7" s="4">
        <f>IFERROR(Table1[[#This Row],[Market_Budget]]/Table1[[#This Row],[Leads]],0)</f>
        <v>353.33370370370369</v>
      </c>
      <c r="W7" s="4">
        <f>IFERROR(Table1[[#This Row],[Market_Budget]]/Table1[[#This Row],[Orders]],0)</f>
        <v>3180.0033333333336</v>
      </c>
      <c r="X7" s="15">
        <f>(Table1[[#This Row],[Revenue]]-Table1[[#This Row],[Market_Budget]])/Table1[[#This Row],[Market_Budget]]</f>
        <v>0.8808156385580308</v>
      </c>
      <c r="Y7" s="5">
        <f>Table1[[#This Row],[Revenue]]-Table1[[#This Row],[Market_Budget]]</f>
        <v>8402.99</v>
      </c>
    </row>
    <row r="8" spans="1:31" x14ac:dyDescent="0.35">
      <c r="A8">
        <v>983498</v>
      </c>
      <c r="B8" s="1">
        <v>44228</v>
      </c>
      <c r="C8" s="1" t="str">
        <f>TEXT(Table1[[#This Row],[Date]],"dddd")</f>
        <v>Monday</v>
      </c>
      <c r="D8" s="1" t="str">
        <f>IF(WEEKDAY(Table1[[#This Row],[Date]],2)&gt;5,"Weekend","Weekday")</f>
        <v>Weekday</v>
      </c>
      <c r="E8" t="s">
        <v>42</v>
      </c>
      <c r="F8" t="str">
        <f>_xlfn.TEXTAFTER(Table1[[#This Row],[Campaign_Name]],"_")</f>
        <v>Tier2</v>
      </c>
      <c r="G8" t="str">
        <f>IF(ISNUMBER(SEARCH("Tier1",Table1[[#This Row],[Campaign_Name]])),"Tier1",IF(ISNUMBER(SEARCH("Tier2",Table1[[#This Row],[Campaign_Name]])),"Tier2","Not Applicable"))</f>
        <v>Tier2</v>
      </c>
      <c r="H8" t="s">
        <v>61</v>
      </c>
      <c r="I8" s="3">
        <v>3648.9</v>
      </c>
      <c r="J8" s="7">
        <v>511200</v>
      </c>
      <c r="K8" s="7">
        <v>2556</v>
      </c>
      <c r="L8" s="7">
        <v>94</v>
      </c>
      <c r="M8" s="7">
        <v>1</v>
      </c>
      <c r="N8" s="2">
        <v>1981</v>
      </c>
      <c r="O8" s="6">
        <f>Table1[[#This Row],[Clicks]]/Table1[[#This Row],[Impressions]]</f>
        <v>5.0000000000000001E-3</v>
      </c>
      <c r="P8" s="6">
        <f>Table1[[#This Row],[Leads]]/Table1[[#This Row],[Clicks]]</f>
        <v>3.6776212832550864E-2</v>
      </c>
      <c r="Q8" s="6" t="str">
        <f>IF(Table1[[#This Row],[Conversion1]]&gt;=2%,"High","Low")</f>
        <v>High</v>
      </c>
      <c r="R8" s="6">
        <f>IFERROR(Table1[[#This Row],[Orders]]/Table1[[#This Row],[Leads]],0)</f>
        <v>1.0638297872340425E-2</v>
      </c>
      <c r="S8" s="6" t="str">
        <f>IF(Table1[[#This Row],[Conversion2]]&gt;=15%,"High","Low")</f>
        <v>Low</v>
      </c>
      <c r="T8" s="4">
        <f>IFERROR(Table1[[#This Row],[Revenue]]/Table1[[#This Row],[Orders]],0)</f>
        <v>1981</v>
      </c>
      <c r="U8" s="4">
        <f>Table1[[#This Row],[Market_Budget]]/Table1[[#This Row],[Clicks]]</f>
        <v>1.4275821596244131</v>
      </c>
      <c r="V8" s="4">
        <f>IFERROR(Table1[[#This Row],[Market_Budget]]/Table1[[#This Row],[Leads]],0)</f>
        <v>38.818085106382981</v>
      </c>
      <c r="W8" s="4">
        <f>IFERROR(Table1[[#This Row],[Market_Budget]]/Table1[[#This Row],[Orders]],0)</f>
        <v>3648.9</v>
      </c>
      <c r="X8" s="15">
        <f>(Table1[[#This Row],[Revenue]]-Table1[[#This Row],[Market_Budget]])/Table1[[#This Row],[Market_Budget]]</f>
        <v>-0.45709665926717641</v>
      </c>
      <c r="Y8" s="5">
        <f>Table1[[#This Row],[Revenue]]-Table1[[#This Row],[Market_Budget]]</f>
        <v>-1667.9</v>
      </c>
      <c r="AE8" s="6">
        <f>SUM(Table1[Orders])/SUM(Table1[Leads])</f>
        <v>0.12264596898397352</v>
      </c>
    </row>
    <row r="9" spans="1:31" x14ac:dyDescent="0.35">
      <c r="A9">
        <v>4387490</v>
      </c>
      <c r="B9" s="1">
        <v>44228</v>
      </c>
      <c r="C9" s="1" t="str">
        <f>TEXT(Table1[[#This Row],[Date]],"dddd")</f>
        <v>Monday</v>
      </c>
      <c r="D9" s="1" t="str">
        <f>IF(WEEKDAY(Table1[[#This Row],[Date]],2)&gt;5,"Weekend","Weekday")</f>
        <v>Weekday</v>
      </c>
      <c r="E9" t="s">
        <v>43</v>
      </c>
      <c r="F9" t="str">
        <f>_xlfn.TEXTAFTER(Table1[[#This Row],[Campaign_Name]],"_")</f>
        <v>Retargeting</v>
      </c>
      <c r="G9" t="str">
        <f>IF(ISNUMBER(SEARCH("Tier1",Table1[[#This Row],[Campaign_Name]])),"Tier1",IF(ISNUMBER(SEARCH("Tier2",Table1[[#This Row],[Campaign_Name]])),"Tier2","Not Applicable"))</f>
        <v>Not Applicable</v>
      </c>
      <c r="H9" t="s">
        <v>61</v>
      </c>
      <c r="I9" s="3">
        <v>1293.55</v>
      </c>
      <c r="J9" s="7">
        <v>5544</v>
      </c>
      <c r="K9" s="7">
        <v>148</v>
      </c>
      <c r="L9" s="7">
        <v>3</v>
      </c>
      <c r="M9" s="7">
        <v>1</v>
      </c>
      <c r="N9" s="2">
        <v>4981</v>
      </c>
      <c r="O9" s="6">
        <f>Table1[[#This Row],[Clicks]]/Table1[[#This Row],[Impressions]]</f>
        <v>2.6695526695526696E-2</v>
      </c>
      <c r="P9" s="6">
        <f>Table1[[#This Row],[Leads]]/Table1[[#This Row],[Clicks]]</f>
        <v>2.0270270270270271E-2</v>
      </c>
      <c r="Q9" s="6" t="str">
        <f>IF(Table1[[#This Row],[Conversion1]]&gt;=2%,"High","Low")</f>
        <v>High</v>
      </c>
      <c r="R9" s="6">
        <f>IFERROR(Table1[[#This Row],[Orders]]/Table1[[#This Row],[Leads]],0)</f>
        <v>0.33333333333333331</v>
      </c>
      <c r="S9" s="6" t="str">
        <f>IF(Table1[[#This Row],[Conversion2]]&gt;=15%,"High","Low")</f>
        <v>High</v>
      </c>
      <c r="T9" s="4">
        <f>IFERROR(Table1[[#This Row],[Revenue]]/Table1[[#This Row],[Orders]],0)</f>
        <v>4981</v>
      </c>
      <c r="U9" s="4">
        <f>Table1[[#This Row],[Market_Budget]]/Table1[[#This Row],[Clicks]]</f>
        <v>8.7402027027027032</v>
      </c>
      <c r="V9" s="4">
        <f>IFERROR(Table1[[#This Row],[Market_Budget]]/Table1[[#This Row],[Leads]],0)</f>
        <v>431.18333333333334</v>
      </c>
      <c r="W9" s="4">
        <f>IFERROR(Table1[[#This Row],[Market_Budget]]/Table1[[#This Row],[Orders]],0)</f>
        <v>1293.55</v>
      </c>
      <c r="X9" s="15">
        <f>(Table1[[#This Row],[Revenue]]-Table1[[#This Row],[Market_Budget]])/Table1[[#This Row],[Market_Budget]]</f>
        <v>2.8506435777511498</v>
      </c>
      <c r="Y9" s="5">
        <f>Table1[[#This Row],[Revenue]]-Table1[[#This Row],[Market_Budget]]</f>
        <v>3687.45</v>
      </c>
      <c r="AC9" s="22"/>
    </row>
    <row r="10" spans="1:31" x14ac:dyDescent="0.35">
      <c r="A10">
        <v>544756</v>
      </c>
      <c r="B10" s="1">
        <v>44228</v>
      </c>
      <c r="C10" s="1" t="str">
        <f>TEXT(Table1[[#This Row],[Date]],"dddd")</f>
        <v>Monday</v>
      </c>
      <c r="D10" s="1" t="str">
        <f>IF(WEEKDAY(Table1[[#This Row],[Date]],2)&gt;5,"Weekend","Weekday")</f>
        <v>Weekday</v>
      </c>
      <c r="E10" t="s">
        <v>44</v>
      </c>
      <c r="F10" t="str">
        <f>_xlfn.TEXTAFTER(Table1[[#This Row],[Campaign_Name]],"_")</f>
        <v>Lal</v>
      </c>
      <c r="G10" t="str">
        <f>IF(ISNUMBER(SEARCH("Tier1",Table1[[#This Row],[Campaign_Name]])),"Tier1",IF(ISNUMBER(SEARCH("Tier2",Table1[[#This Row],[Campaign_Name]])),"Tier2","Not Applicable"))</f>
        <v>Not Applicable</v>
      </c>
      <c r="H10" t="s">
        <v>61</v>
      </c>
      <c r="I10" s="3">
        <v>16997.8</v>
      </c>
      <c r="J10" s="7">
        <v>56916</v>
      </c>
      <c r="K10" s="7">
        <v>596</v>
      </c>
      <c r="L10" s="7">
        <v>14</v>
      </c>
      <c r="M10" s="7">
        <v>2</v>
      </c>
      <c r="N10" s="2">
        <v>4162</v>
      </c>
      <c r="O10" s="6">
        <f>Table1[[#This Row],[Clicks]]/Table1[[#This Row],[Impressions]]</f>
        <v>1.0471572141401363E-2</v>
      </c>
      <c r="P10" s="6">
        <f>Table1[[#This Row],[Leads]]/Table1[[#This Row],[Clicks]]</f>
        <v>2.3489932885906041E-2</v>
      </c>
      <c r="Q10" s="6" t="str">
        <f>IF(Table1[[#This Row],[Conversion1]]&gt;=2%,"High","Low")</f>
        <v>High</v>
      </c>
      <c r="R10" s="6">
        <f>IFERROR(Table1[[#This Row],[Orders]]/Table1[[#This Row],[Leads]],0)</f>
        <v>0.14285714285714285</v>
      </c>
      <c r="S10" s="6" t="str">
        <f>IF(Table1[[#This Row],[Conversion2]]&gt;=15%,"High","Low")</f>
        <v>Low</v>
      </c>
      <c r="T10" s="4">
        <f>IFERROR(Table1[[#This Row],[Revenue]]/Table1[[#This Row],[Orders]],0)</f>
        <v>2081</v>
      </c>
      <c r="U10" s="4">
        <f>Table1[[#This Row],[Market_Budget]]/Table1[[#This Row],[Clicks]]</f>
        <v>28.51979865771812</v>
      </c>
      <c r="V10" s="4">
        <f>IFERROR(Table1[[#This Row],[Market_Budget]]/Table1[[#This Row],[Leads]],0)</f>
        <v>1214.1285714285714</v>
      </c>
      <c r="W10" s="4">
        <f>IFERROR(Table1[[#This Row],[Market_Budget]]/Table1[[#This Row],[Orders]],0)</f>
        <v>8498.9</v>
      </c>
      <c r="X10" s="15">
        <f>(Table1[[#This Row],[Revenue]]-Table1[[#This Row],[Market_Budget]])/Table1[[#This Row],[Market_Budget]]</f>
        <v>-0.75514478344256319</v>
      </c>
      <c r="Y10" s="5">
        <f>Table1[[#This Row],[Revenue]]-Table1[[#This Row],[Market_Budget]]</f>
        <v>-12835.8</v>
      </c>
    </row>
    <row r="11" spans="1:31" x14ac:dyDescent="0.35">
      <c r="A11">
        <v>374754</v>
      </c>
      <c r="B11" s="1">
        <v>44228</v>
      </c>
      <c r="C11" s="1" t="str">
        <f>TEXT(Table1[[#This Row],[Date]],"dddd")</f>
        <v>Monday</v>
      </c>
      <c r="D11" s="1" t="str">
        <f>IF(WEEKDAY(Table1[[#This Row],[Date]],2)&gt;5,"Weekend","Weekday")</f>
        <v>Weekday</v>
      </c>
      <c r="E11" t="s">
        <v>45</v>
      </c>
      <c r="F11" t="str">
        <f>_xlfn.TEXTAFTER(Table1[[#This Row],[Campaign_Name]],"_")</f>
        <v>Blogger</v>
      </c>
      <c r="G11" t="str">
        <f>IF(ISNUMBER(SEARCH("Tier1",Table1[[#This Row],[Campaign_Name]])),"Tier1",IF(ISNUMBER(SEARCH("Tier2",Table1[[#This Row],[Campaign_Name]])),"Tier2","Not Applicable"))</f>
        <v>Not Applicable</v>
      </c>
      <c r="H11" t="s">
        <v>48</v>
      </c>
      <c r="I11" s="3">
        <v>23604.1</v>
      </c>
      <c r="J11" s="7">
        <v>120436</v>
      </c>
      <c r="K11" s="7">
        <v>1498</v>
      </c>
      <c r="L11" s="7">
        <v>49</v>
      </c>
      <c r="M11" s="7">
        <v>7</v>
      </c>
      <c r="N11" s="2">
        <v>39081</v>
      </c>
      <c r="O11" s="6">
        <f>Table1[[#This Row],[Clicks]]/Table1[[#This Row],[Impressions]]</f>
        <v>1.2438141419509116E-2</v>
      </c>
      <c r="P11" s="6">
        <f>Table1[[#This Row],[Leads]]/Table1[[#This Row],[Clicks]]</f>
        <v>3.2710280373831772E-2</v>
      </c>
      <c r="Q11" s="6" t="str">
        <f>IF(Table1[[#This Row],[Conversion1]]&gt;=2%,"High","Low")</f>
        <v>High</v>
      </c>
      <c r="R11" s="6">
        <f>IFERROR(Table1[[#This Row],[Orders]]/Table1[[#This Row],[Leads]],0)</f>
        <v>0.14285714285714285</v>
      </c>
      <c r="S11" s="6" t="str">
        <f>IF(Table1[[#This Row],[Conversion2]]&gt;=15%,"High","Low")</f>
        <v>Low</v>
      </c>
      <c r="T11" s="4">
        <f>IFERROR(Table1[[#This Row],[Revenue]]/Table1[[#This Row],[Orders]],0)</f>
        <v>5583</v>
      </c>
      <c r="U11" s="4">
        <f>Table1[[#This Row],[Market_Budget]]/Table1[[#This Row],[Clicks]]</f>
        <v>15.757076101468623</v>
      </c>
      <c r="V11" s="4">
        <f>IFERROR(Table1[[#This Row],[Market_Budget]]/Table1[[#This Row],[Leads]],0)</f>
        <v>481.71632653061221</v>
      </c>
      <c r="W11" s="4">
        <f>IFERROR(Table1[[#This Row],[Market_Budget]]/Table1[[#This Row],[Orders]],0)</f>
        <v>3372.0142857142855</v>
      </c>
      <c r="X11" s="15">
        <f>(Table1[[#This Row],[Revenue]]-Table1[[#This Row],[Market_Budget]])/Table1[[#This Row],[Market_Budget]]</f>
        <v>0.65568693574421399</v>
      </c>
      <c r="Y11" s="5">
        <f>Table1[[#This Row],[Revenue]]-Table1[[#This Row],[Market_Budget]]</f>
        <v>15476.900000000001</v>
      </c>
    </row>
    <row r="12" spans="1:31" x14ac:dyDescent="0.35">
      <c r="A12">
        <v>39889</v>
      </c>
      <c r="B12" s="1">
        <v>44228</v>
      </c>
      <c r="C12" s="1" t="str">
        <f>TEXT(Table1[[#This Row],[Date]],"dddd")</f>
        <v>Monday</v>
      </c>
      <c r="D12" s="1" t="str">
        <f>IF(WEEKDAY(Table1[[#This Row],[Date]],2)&gt;5,"Weekend","Weekday")</f>
        <v>Weekday</v>
      </c>
      <c r="E12" t="s">
        <v>46</v>
      </c>
      <c r="F12" t="str">
        <f>_xlfn.TEXTAFTER(Table1[[#This Row],[Campaign_Name]],"_")</f>
        <v>Partner</v>
      </c>
      <c r="G12" t="str">
        <f>IF(ISNUMBER(SEARCH("Tier1",Table1[[#This Row],[Campaign_Name]])),"Tier1",IF(ISNUMBER(SEARCH("Tier2",Table1[[#This Row],[Campaign_Name]])),"Tier2","Not Applicable"))</f>
        <v>Not Applicable</v>
      </c>
      <c r="H12" t="s">
        <v>62</v>
      </c>
      <c r="I12" s="3">
        <v>931.99</v>
      </c>
      <c r="J12" s="7">
        <v>20900000</v>
      </c>
      <c r="K12" s="7">
        <v>2090</v>
      </c>
      <c r="L12" s="7">
        <v>3</v>
      </c>
      <c r="M12" s="7">
        <v>0</v>
      </c>
      <c r="N12" s="2">
        <v>0</v>
      </c>
      <c r="O12" s="6">
        <f>Table1[[#This Row],[Clicks]]/Table1[[#This Row],[Impressions]]</f>
        <v>1E-4</v>
      </c>
      <c r="P12" s="6">
        <f>Table1[[#This Row],[Leads]]/Table1[[#This Row],[Clicks]]</f>
        <v>1.4354066985645933E-3</v>
      </c>
      <c r="Q12" s="6" t="str">
        <f>IF(Table1[[#This Row],[Conversion1]]&gt;=2%,"High","Low")</f>
        <v>Low</v>
      </c>
      <c r="R12" s="6">
        <f>IFERROR(Table1[[#This Row],[Orders]]/Table1[[#This Row],[Leads]],0)</f>
        <v>0</v>
      </c>
      <c r="S12" s="6" t="str">
        <f>IF(Table1[[#This Row],[Conversion2]]&gt;=15%,"High","Low")</f>
        <v>Low</v>
      </c>
      <c r="T12" s="4">
        <f>IFERROR(Table1[[#This Row],[Revenue]]/Table1[[#This Row],[Orders]],0)</f>
        <v>0</v>
      </c>
      <c r="U12" s="4">
        <f>Table1[[#This Row],[Market_Budget]]/Table1[[#This Row],[Clicks]]</f>
        <v>0.44592822966507178</v>
      </c>
      <c r="V12" s="4">
        <f>IFERROR(Table1[[#This Row],[Market_Budget]]/Table1[[#This Row],[Leads]],0)</f>
        <v>310.66333333333336</v>
      </c>
      <c r="W12" s="4">
        <f>IFERROR(Table1[[#This Row],[Market_Budget]]/Table1[[#This Row],[Orders]],0)</f>
        <v>0</v>
      </c>
      <c r="X12" s="15">
        <f>(Table1[[#This Row],[Revenue]]-Table1[[#This Row],[Market_Budget]])/Table1[[#This Row],[Market_Budget]]</f>
        <v>-1</v>
      </c>
      <c r="Y12" s="5">
        <f>Table1[[#This Row],[Revenue]]-Table1[[#This Row],[Market_Budget]]</f>
        <v>-931.99</v>
      </c>
    </row>
    <row r="13" spans="1:31" x14ac:dyDescent="0.35">
      <c r="A13">
        <v>349043</v>
      </c>
      <c r="B13" s="1">
        <v>44229</v>
      </c>
      <c r="C13" s="1" t="str">
        <f>TEXT(Table1[[#This Row],[Date]],"dddd")</f>
        <v>Tuesday</v>
      </c>
      <c r="D13" s="1" t="str">
        <f>IF(WEEKDAY(Table1[[#This Row],[Date]],2)&gt;5,"Weekend","Weekday")</f>
        <v>Weekday</v>
      </c>
      <c r="E13" t="s">
        <v>36</v>
      </c>
      <c r="F13" t="str">
        <f>_xlfn.TEXTAFTER(Table1[[#This Row],[Campaign_Name]],"_")</f>
        <v>Tier1</v>
      </c>
      <c r="G13" t="str">
        <f>IF(ISNUMBER(SEARCH("Tier1",Table1[[#This Row],[Campaign_Name]])),"Tier1",IF(ISNUMBER(SEARCH("Tier2",Table1[[#This Row],[Campaign_Name]])),"Tier2","Not Applicable"))</f>
        <v>Tier1</v>
      </c>
      <c r="H13" t="s">
        <v>61</v>
      </c>
      <c r="I13" s="3">
        <v>18385.3</v>
      </c>
      <c r="J13" s="7">
        <v>478200</v>
      </c>
      <c r="K13" s="7">
        <v>2391</v>
      </c>
      <c r="L13" s="7">
        <v>48</v>
      </c>
      <c r="M13" s="7">
        <v>4</v>
      </c>
      <c r="N13" s="2">
        <v>17812</v>
      </c>
      <c r="O13" s="6">
        <f>Table1[[#This Row],[Clicks]]/Table1[[#This Row],[Impressions]]</f>
        <v>5.0000000000000001E-3</v>
      </c>
      <c r="P13" s="6">
        <f>Table1[[#This Row],[Leads]]/Table1[[#This Row],[Clicks]]</f>
        <v>2.0075282308657464E-2</v>
      </c>
      <c r="Q13" s="6" t="str">
        <f>IF(Table1[[#This Row],[Conversion1]]&gt;=2%,"High","Low")</f>
        <v>High</v>
      </c>
      <c r="R13" s="6">
        <f>IFERROR(Table1[[#This Row],[Orders]]/Table1[[#This Row],[Leads]],0)</f>
        <v>8.3333333333333329E-2</v>
      </c>
      <c r="S13" s="6" t="str">
        <f>IF(Table1[[#This Row],[Conversion2]]&gt;=15%,"High","Low")</f>
        <v>Low</v>
      </c>
      <c r="T13" s="4">
        <f>IFERROR(Table1[[#This Row],[Revenue]]/Table1[[#This Row],[Orders]],0)</f>
        <v>4453</v>
      </c>
      <c r="U13" s="4">
        <f>Table1[[#This Row],[Market_Budget]]/Table1[[#This Row],[Clicks]]</f>
        <v>7.6893768297783351</v>
      </c>
      <c r="V13" s="4">
        <f>IFERROR(Table1[[#This Row],[Market_Budget]]/Table1[[#This Row],[Leads]],0)</f>
        <v>383.02708333333334</v>
      </c>
      <c r="W13" s="4">
        <f>IFERROR(Table1[[#This Row],[Market_Budget]]/Table1[[#This Row],[Orders]],0)</f>
        <v>4596.3249999999998</v>
      </c>
      <c r="X13" s="15">
        <f>(Table1[[#This Row],[Revenue]]-Table1[[#This Row],[Market_Budget]])/Table1[[#This Row],[Market_Budget]]</f>
        <v>-3.1182520818262376E-2</v>
      </c>
      <c r="Y13" s="5">
        <f>Table1[[#This Row],[Revenue]]-Table1[[#This Row],[Market_Budget]]</f>
        <v>-573.29999999999927</v>
      </c>
    </row>
    <row r="14" spans="1:31" x14ac:dyDescent="0.35">
      <c r="A14">
        <v>348934</v>
      </c>
      <c r="B14" s="1">
        <v>44229</v>
      </c>
      <c r="C14" s="1" t="str">
        <f>TEXT(Table1[[#This Row],[Date]],"dddd")</f>
        <v>Tuesday</v>
      </c>
      <c r="D14" s="1" t="str">
        <f>IF(WEEKDAY(Table1[[#This Row],[Date]],2)&gt;5,"Weekend","Weekday")</f>
        <v>Weekday</v>
      </c>
      <c r="E14" t="s">
        <v>37</v>
      </c>
      <c r="F14" t="str">
        <f>_xlfn.TEXTAFTER(Table1[[#This Row],[Campaign_Name]],"_")</f>
        <v>Tier2</v>
      </c>
      <c r="G14" t="str">
        <f>IF(ISNUMBER(SEARCH("Tier1",Table1[[#This Row],[Campaign_Name]])),"Tier1",IF(ISNUMBER(SEARCH("Tier2",Table1[[#This Row],[Campaign_Name]])),"Tier2","Not Applicable"))</f>
        <v>Tier2</v>
      </c>
      <c r="H14" t="s">
        <v>61</v>
      </c>
      <c r="I14" s="3">
        <v>2198.0500000000002</v>
      </c>
      <c r="J14" s="7">
        <v>957806</v>
      </c>
      <c r="K14" s="7">
        <v>3294</v>
      </c>
      <c r="L14" s="7">
        <v>10</v>
      </c>
      <c r="M14" s="7">
        <v>0</v>
      </c>
      <c r="N14" s="2">
        <v>0</v>
      </c>
      <c r="O14" s="6">
        <f>Table1[[#This Row],[Clicks]]/Table1[[#This Row],[Impressions]]</f>
        <v>3.4391097988527948E-3</v>
      </c>
      <c r="P14" s="6">
        <f>Table1[[#This Row],[Leads]]/Table1[[#This Row],[Clicks]]</f>
        <v>3.0358227079538553E-3</v>
      </c>
      <c r="Q14" s="6" t="str">
        <f>IF(Table1[[#This Row],[Conversion1]]&gt;=2%,"High","Low")</f>
        <v>Low</v>
      </c>
      <c r="R14" s="6">
        <f>IFERROR(Table1[[#This Row],[Orders]]/Table1[[#This Row],[Leads]],0)</f>
        <v>0</v>
      </c>
      <c r="S14" s="6" t="str">
        <f>IF(Table1[[#This Row],[Conversion2]]&gt;=15%,"High","Low")</f>
        <v>Low</v>
      </c>
      <c r="T14" s="4">
        <f>IFERROR(Table1[[#This Row],[Revenue]]/Table1[[#This Row],[Orders]],0)</f>
        <v>0</v>
      </c>
      <c r="U14" s="4">
        <f>Table1[[#This Row],[Market_Budget]]/Table1[[#This Row],[Clicks]]</f>
        <v>0.66728901032179722</v>
      </c>
      <c r="V14" s="4">
        <f>IFERROR(Table1[[#This Row],[Market_Budget]]/Table1[[#This Row],[Leads]],0)</f>
        <v>219.80500000000001</v>
      </c>
      <c r="W14" s="4">
        <f>IFERROR(Table1[[#This Row],[Market_Budget]]/Table1[[#This Row],[Orders]],0)</f>
        <v>0</v>
      </c>
      <c r="X14" s="15">
        <f>(Table1[[#This Row],[Revenue]]-Table1[[#This Row],[Market_Budget]])/Table1[[#This Row],[Market_Budget]]</f>
        <v>-1</v>
      </c>
      <c r="Y14" s="5">
        <f>Table1[[#This Row],[Revenue]]-Table1[[#This Row],[Market_Budget]]</f>
        <v>-2198.0500000000002</v>
      </c>
    </row>
    <row r="15" spans="1:31" x14ac:dyDescent="0.35">
      <c r="A15">
        <v>89459845</v>
      </c>
      <c r="B15" s="1">
        <v>44229</v>
      </c>
      <c r="C15" s="1" t="str">
        <f>TEXT(Table1[[#This Row],[Date]],"dddd")</f>
        <v>Tuesday</v>
      </c>
      <c r="D15" s="1" t="str">
        <f>IF(WEEKDAY(Table1[[#This Row],[Date]],2)&gt;5,"Weekend","Weekday")</f>
        <v>Weekday</v>
      </c>
      <c r="E15" t="s">
        <v>38</v>
      </c>
      <c r="F15" t="str">
        <f>_xlfn.TEXTAFTER(Table1[[#This Row],[Campaign_Name]],"_")</f>
        <v>Hot</v>
      </c>
      <c r="G15" t="str">
        <f>IF(ISNUMBER(SEARCH("Tier1",Table1[[#This Row],[Campaign_Name]])),"Tier1",IF(ISNUMBER(SEARCH("Tier2",Table1[[#This Row],[Campaign_Name]])),"Tier2","Not Applicable"))</f>
        <v>Not Applicable</v>
      </c>
      <c r="H15" t="s">
        <v>47</v>
      </c>
      <c r="I15" s="3">
        <v>11446.7</v>
      </c>
      <c r="J15" s="7">
        <v>43806</v>
      </c>
      <c r="K15" s="7">
        <v>907</v>
      </c>
      <c r="L15" s="7">
        <v>18</v>
      </c>
      <c r="M15" s="7">
        <v>3</v>
      </c>
      <c r="N15" s="2">
        <v>23943</v>
      </c>
      <c r="O15" s="6">
        <f>Table1[[#This Row],[Clicks]]/Table1[[#This Row],[Impressions]]</f>
        <v>2.0704926265808336E-2</v>
      </c>
      <c r="P15" s="6">
        <f>Table1[[#This Row],[Leads]]/Table1[[#This Row],[Clicks]]</f>
        <v>1.9845644983461964E-2</v>
      </c>
      <c r="Q15" s="6" t="str">
        <f>IF(Table1[[#This Row],[Conversion1]]&gt;=2%,"High","Low")</f>
        <v>Low</v>
      </c>
      <c r="R15" s="6">
        <f>IFERROR(Table1[[#This Row],[Orders]]/Table1[[#This Row],[Leads]],0)</f>
        <v>0.16666666666666666</v>
      </c>
      <c r="S15" s="6" t="str">
        <f>IF(Table1[[#This Row],[Conversion2]]&gt;=15%,"High","Low")</f>
        <v>High</v>
      </c>
      <c r="T15" s="4">
        <f>IFERROR(Table1[[#This Row],[Revenue]]/Table1[[#This Row],[Orders]],0)</f>
        <v>7981</v>
      </c>
      <c r="U15" s="4">
        <f>Table1[[#This Row],[Market_Budget]]/Table1[[#This Row],[Clicks]]</f>
        <v>12.62039691289967</v>
      </c>
      <c r="V15" s="4">
        <f>IFERROR(Table1[[#This Row],[Market_Budget]]/Table1[[#This Row],[Leads]],0)</f>
        <v>635.92777777777781</v>
      </c>
      <c r="W15" s="4">
        <f>IFERROR(Table1[[#This Row],[Market_Budget]]/Table1[[#This Row],[Orders]],0)</f>
        <v>3815.5666666666671</v>
      </c>
      <c r="X15" s="15">
        <f>(Table1[[#This Row],[Revenue]]-Table1[[#This Row],[Market_Budget]])/Table1[[#This Row],[Market_Budget]]</f>
        <v>1.0916945495208226</v>
      </c>
      <c r="Y15" s="5">
        <f>Table1[[#This Row],[Revenue]]-Table1[[#This Row],[Market_Budget]]</f>
        <v>12496.3</v>
      </c>
    </row>
    <row r="16" spans="1:31" x14ac:dyDescent="0.35">
      <c r="A16">
        <v>127823</v>
      </c>
      <c r="B16" s="1">
        <v>44229</v>
      </c>
      <c r="C16" s="1" t="str">
        <f>TEXT(Table1[[#This Row],[Date]],"dddd")</f>
        <v>Tuesday</v>
      </c>
      <c r="D16" s="1" t="str">
        <f>IF(WEEKDAY(Table1[[#This Row],[Date]],2)&gt;5,"Weekend","Weekday")</f>
        <v>Weekday</v>
      </c>
      <c r="E16" t="s">
        <v>39</v>
      </c>
      <c r="F16" t="str">
        <f>_xlfn.TEXTAFTER(Table1[[#This Row],[Campaign_Name]],"_")</f>
        <v>Wide</v>
      </c>
      <c r="G16" t="str">
        <f>IF(ISNUMBER(SEARCH("Tier1",Table1[[#This Row],[Campaign_Name]])),"Tier1",IF(ISNUMBER(SEARCH("Tier2",Table1[[#This Row],[Campaign_Name]])),"Tier2","Not Applicable"))</f>
        <v>Not Applicable</v>
      </c>
      <c r="H16" t="s">
        <v>47</v>
      </c>
      <c r="I16" s="3">
        <v>15153.6</v>
      </c>
      <c r="J16" s="7">
        <v>314704</v>
      </c>
      <c r="K16" s="7">
        <v>2395</v>
      </c>
      <c r="L16" s="7">
        <v>39</v>
      </c>
      <c r="M16" s="7">
        <v>4</v>
      </c>
      <c r="N16" s="2">
        <v>12540</v>
      </c>
      <c r="O16" s="6">
        <f>Table1[[#This Row],[Clicks]]/Table1[[#This Row],[Impressions]]</f>
        <v>7.6103258935380546E-3</v>
      </c>
      <c r="P16" s="6">
        <f>Table1[[#This Row],[Leads]]/Table1[[#This Row],[Clicks]]</f>
        <v>1.6283924843423801E-2</v>
      </c>
      <c r="Q16" s="6" t="str">
        <f>IF(Table1[[#This Row],[Conversion1]]&gt;=2%,"High","Low")</f>
        <v>Low</v>
      </c>
      <c r="R16" s="6">
        <f>IFERROR(Table1[[#This Row],[Orders]]/Table1[[#This Row],[Leads]],0)</f>
        <v>0.10256410256410256</v>
      </c>
      <c r="S16" s="6" t="str">
        <f>IF(Table1[[#This Row],[Conversion2]]&gt;=15%,"High","Low")</f>
        <v>Low</v>
      </c>
      <c r="T16" s="4">
        <f>IFERROR(Table1[[#This Row],[Revenue]]/Table1[[#This Row],[Orders]],0)</f>
        <v>3135</v>
      </c>
      <c r="U16" s="4">
        <f>Table1[[#This Row],[Market_Budget]]/Table1[[#This Row],[Clicks]]</f>
        <v>6.3271816283924842</v>
      </c>
      <c r="V16" s="4">
        <f>IFERROR(Table1[[#This Row],[Market_Budget]]/Table1[[#This Row],[Leads]],0)</f>
        <v>388.55384615384617</v>
      </c>
      <c r="W16" s="4">
        <f>IFERROR(Table1[[#This Row],[Market_Budget]]/Table1[[#This Row],[Orders]],0)</f>
        <v>3788.4</v>
      </c>
      <c r="X16" s="15">
        <f>(Table1[[#This Row],[Revenue]]-Table1[[#This Row],[Market_Budget]])/Table1[[#This Row],[Market_Budget]]</f>
        <v>-0.17247386759581884</v>
      </c>
      <c r="Y16" s="5">
        <f>Table1[[#This Row],[Revenue]]-Table1[[#This Row],[Market_Budget]]</f>
        <v>-2613.6000000000004</v>
      </c>
    </row>
    <row r="17" spans="1:25" x14ac:dyDescent="0.35">
      <c r="A17">
        <v>10934</v>
      </c>
      <c r="B17" s="1">
        <v>44229</v>
      </c>
      <c r="C17" s="1" t="str">
        <f>TEXT(Table1[[#This Row],[Date]],"dddd")</f>
        <v>Tuesday</v>
      </c>
      <c r="D17" s="1" t="str">
        <f>IF(WEEKDAY(Table1[[#This Row],[Date]],2)&gt;5,"Weekend","Weekday")</f>
        <v>Weekday</v>
      </c>
      <c r="E17" t="s">
        <v>40</v>
      </c>
      <c r="F17" t="str">
        <f>_xlfn.TEXTAFTER(Table1[[#This Row],[Campaign_Name]],"_")</f>
        <v>Blogger</v>
      </c>
      <c r="G17" t="str">
        <f>IF(ISNUMBER(SEARCH("Tier1",Table1[[#This Row],[Campaign_Name]])),"Tier1",IF(ISNUMBER(SEARCH("Tier2",Table1[[#This Row],[Campaign_Name]])),"Tier2","Not Applicable"))</f>
        <v>Not Applicable</v>
      </c>
      <c r="H17" t="s">
        <v>48</v>
      </c>
      <c r="I17" s="3">
        <v>42301.1</v>
      </c>
      <c r="J17" s="7">
        <v>449200</v>
      </c>
      <c r="K17" s="7">
        <v>4492</v>
      </c>
      <c r="L17" s="7">
        <v>85</v>
      </c>
      <c r="M17" s="7">
        <v>17</v>
      </c>
      <c r="N17" s="2">
        <v>149141</v>
      </c>
      <c r="O17" s="6">
        <f>Table1[[#This Row],[Clicks]]/Table1[[#This Row],[Impressions]]</f>
        <v>0.01</v>
      </c>
      <c r="P17" s="6">
        <f>Table1[[#This Row],[Leads]]/Table1[[#This Row],[Clicks]]</f>
        <v>1.8922528940338381E-2</v>
      </c>
      <c r="Q17" s="6" t="str">
        <f>IF(Table1[[#This Row],[Conversion1]]&gt;=2%,"High","Low")</f>
        <v>Low</v>
      </c>
      <c r="R17" s="6">
        <f>IFERROR(Table1[[#This Row],[Orders]]/Table1[[#This Row],[Leads]],0)</f>
        <v>0.2</v>
      </c>
      <c r="S17" s="6" t="str">
        <f>IF(Table1[[#This Row],[Conversion2]]&gt;=15%,"High","Low")</f>
        <v>High</v>
      </c>
      <c r="T17" s="4">
        <f>IFERROR(Table1[[#This Row],[Revenue]]/Table1[[#This Row],[Orders]],0)</f>
        <v>8773</v>
      </c>
      <c r="U17" s="4">
        <f>Table1[[#This Row],[Market_Budget]]/Table1[[#This Row],[Clicks]]</f>
        <v>9.416985752448797</v>
      </c>
      <c r="V17" s="4">
        <f>IFERROR(Table1[[#This Row],[Market_Budget]]/Table1[[#This Row],[Leads]],0)</f>
        <v>497.65999999999997</v>
      </c>
      <c r="W17" s="4">
        <f>IFERROR(Table1[[#This Row],[Market_Budget]]/Table1[[#This Row],[Orders]],0)</f>
        <v>2488.2999999999997</v>
      </c>
      <c r="X17" s="15">
        <f>(Table1[[#This Row],[Revenue]]-Table1[[#This Row],[Market_Budget]])/Table1[[#This Row],[Market_Budget]]</f>
        <v>2.5257002772977533</v>
      </c>
      <c r="Y17" s="5">
        <f>Table1[[#This Row],[Revenue]]-Table1[[#This Row],[Market_Budget]]</f>
        <v>106839.9</v>
      </c>
    </row>
    <row r="18" spans="1:25" x14ac:dyDescent="0.35">
      <c r="A18">
        <v>9034945</v>
      </c>
      <c r="B18" s="1">
        <v>44229</v>
      </c>
      <c r="C18" s="1" t="str">
        <f>TEXT(Table1[[#This Row],[Date]],"dddd")</f>
        <v>Tuesday</v>
      </c>
      <c r="D18" s="1" t="str">
        <f>IF(WEEKDAY(Table1[[#This Row],[Date]],2)&gt;5,"Weekend","Weekday")</f>
        <v>Weekday</v>
      </c>
      <c r="E18" t="s">
        <v>41</v>
      </c>
      <c r="F18" t="str">
        <f>_xlfn.TEXTAFTER(Table1[[#This Row],[Campaign_Name]],"_")</f>
        <v>Tier1</v>
      </c>
      <c r="G18" t="str">
        <f>IF(ISNUMBER(SEARCH("Tier1",Table1[[#This Row],[Campaign_Name]])),"Tier1",IF(ISNUMBER(SEARCH("Tier2",Table1[[#This Row],[Campaign_Name]])),"Tier2","Not Applicable"))</f>
        <v>Tier1</v>
      </c>
      <c r="H18" t="s">
        <v>61</v>
      </c>
      <c r="I18" s="3">
        <v>29081.1</v>
      </c>
      <c r="J18" s="7">
        <v>540200</v>
      </c>
      <c r="K18" s="7">
        <v>2701</v>
      </c>
      <c r="L18" s="7">
        <v>54</v>
      </c>
      <c r="M18" s="7">
        <v>9</v>
      </c>
      <c r="N18" s="2">
        <v>45585</v>
      </c>
      <c r="O18" s="6">
        <f>Table1[[#This Row],[Clicks]]/Table1[[#This Row],[Impressions]]</f>
        <v>5.0000000000000001E-3</v>
      </c>
      <c r="P18" s="6">
        <f>Table1[[#This Row],[Leads]]/Table1[[#This Row],[Clicks]]</f>
        <v>1.9992595335061088E-2</v>
      </c>
      <c r="Q18" s="6" t="str">
        <f>IF(Table1[[#This Row],[Conversion1]]&gt;=2%,"High","Low")</f>
        <v>Low</v>
      </c>
      <c r="R18" s="6">
        <f>IFERROR(Table1[[#This Row],[Orders]]/Table1[[#This Row],[Leads]],0)</f>
        <v>0.16666666666666666</v>
      </c>
      <c r="S18" s="6" t="str">
        <f>IF(Table1[[#This Row],[Conversion2]]&gt;=15%,"High","Low")</f>
        <v>High</v>
      </c>
      <c r="T18" s="4">
        <f>IFERROR(Table1[[#This Row],[Revenue]]/Table1[[#This Row],[Orders]],0)</f>
        <v>5065</v>
      </c>
      <c r="U18" s="4">
        <f>Table1[[#This Row],[Market_Budget]]/Table1[[#This Row],[Clicks]]</f>
        <v>10.766790077748981</v>
      </c>
      <c r="V18" s="4">
        <f>IFERROR(Table1[[#This Row],[Market_Budget]]/Table1[[#This Row],[Leads]],0)</f>
        <v>538.53888888888889</v>
      </c>
      <c r="W18" s="4">
        <f>IFERROR(Table1[[#This Row],[Market_Budget]]/Table1[[#This Row],[Orders]],0)</f>
        <v>3231.2333333333331</v>
      </c>
      <c r="X18" s="15">
        <f>(Table1[[#This Row],[Revenue]]-Table1[[#This Row],[Market_Budget]])/Table1[[#This Row],[Market_Budget]]</f>
        <v>0.56751292076296989</v>
      </c>
      <c r="Y18" s="5">
        <f>Table1[[#This Row],[Revenue]]-Table1[[#This Row],[Market_Budget]]</f>
        <v>16503.900000000001</v>
      </c>
    </row>
    <row r="19" spans="1:25" x14ac:dyDescent="0.35">
      <c r="A19">
        <v>983498</v>
      </c>
      <c r="B19" s="1">
        <v>44229</v>
      </c>
      <c r="C19" s="1" t="str">
        <f>TEXT(Table1[[#This Row],[Date]],"dddd")</f>
        <v>Tuesday</v>
      </c>
      <c r="D19" s="1" t="str">
        <f>IF(WEEKDAY(Table1[[#This Row],[Date]],2)&gt;5,"Weekend","Weekday")</f>
        <v>Weekday</v>
      </c>
      <c r="E19" t="s">
        <v>42</v>
      </c>
      <c r="F19" t="str">
        <f>_xlfn.TEXTAFTER(Table1[[#This Row],[Campaign_Name]],"_")</f>
        <v>Tier2</v>
      </c>
      <c r="G19" t="str">
        <f>IF(ISNUMBER(SEARCH("Tier1",Table1[[#This Row],[Campaign_Name]])),"Tier1",IF(ISNUMBER(SEARCH("Tier2",Table1[[#This Row],[Campaign_Name]])),"Tier2","Not Applicable"))</f>
        <v>Tier2</v>
      </c>
      <c r="H19" t="s">
        <v>61</v>
      </c>
      <c r="I19" s="3">
        <v>1421.34</v>
      </c>
      <c r="J19" s="7">
        <v>1020800</v>
      </c>
      <c r="K19" s="7">
        <v>5104</v>
      </c>
      <c r="L19" s="7">
        <v>14</v>
      </c>
      <c r="M19" s="7">
        <v>0</v>
      </c>
      <c r="N19" s="2">
        <v>0</v>
      </c>
      <c r="O19" s="6">
        <f>Table1[[#This Row],[Clicks]]/Table1[[#This Row],[Impressions]]</f>
        <v>5.0000000000000001E-3</v>
      </c>
      <c r="P19" s="6">
        <f>Table1[[#This Row],[Leads]]/Table1[[#This Row],[Clicks]]</f>
        <v>2.7429467084639498E-3</v>
      </c>
      <c r="Q19" s="6" t="str">
        <f>IF(Table1[[#This Row],[Conversion1]]&gt;=2%,"High","Low")</f>
        <v>Low</v>
      </c>
      <c r="R19" s="6">
        <f>IFERROR(Table1[[#This Row],[Orders]]/Table1[[#This Row],[Leads]],0)</f>
        <v>0</v>
      </c>
      <c r="S19" s="6" t="str">
        <f>IF(Table1[[#This Row],[Conversion2]]&gt;=15%,"High","Low")</f>
        <v>Low</v>
      </c>
      <c r="T19" s="4">
        <f>IFERROR(Table1[[#This Row],[Revenue]]/Table1[[#This Row],[Orders]],0)</f>
        <v>0</v>
      </c>
      <c r="U19" s="4">
        <f>Table1[[#This Row],[Market_Budget]]/Table1[[#This Row],[Clicks]]</f>
        <v>0.27847570532915361</v>
      </c>
      <c r="V19" s="4">
        <f>IFERROR(Table1[[#This Row],[Market_Budget]]/Table1[[#This Row],[Leads]],0)</f>
        <v>101.52428571428571</v>
      </c>
      <c r="W19" s="4">
        <f>IFERROR(Table1[[#This Row],[Market_Budget]]/Table1[[#This Row],[Orders]],0)</f>
        <v>0</v>
      </c>
      <c r="X19" s="15">
        <f>(Table1[[#This Row],[Revenue]]-Table1[[#This Row],[Market_Budget]])/Table1[[#This Row],[Market_Budget]]</f>
        <v>-1</v>
      </c>
      <c r="Y19" s="5">
        <f>Table1[[#This Row],[Revenue]]-Table1[[#This Row],[Market_Budget]]</f>
        <v>-1421.34</v>
      </c>
    </row>
    <row r="20" spans="1:25" x14ac:dyDescent="0.35">
      <c r="A20">
        <v>4387490</v>
      </c>
      <c r="B20" s="1">
        <v>44229</v>
      </c>
      <c r="C20" s="1" t="str">
        <f>TEXT(Table1[[#This Row],[Date]],"dddd")</f>
        <v>Tuesday</v>
      </c>
      <c r="D20" s="1" t="str">
        <f>IF(WEEKDAY(Table1[[#This Row],[Date]],2)&gt;5,"Weekend","Weekday")</f>
        <v>Weekday</v>
      </c>
      <c r="E20" t="s">
        <v>43</v>
      </c>
      <c r="F20" t="str">
        <f>_xlfn.TEXTAFTER(Table1[[#This Row],[Campaign_Name]],"_")</f>
        <v>Retargeting</v>
      </c>
      <c r="G20" t="str">
        <f>IF(ISNUMBER(SEARCH("Tier1",Table1[[#This Row],[Campaign_Name]])),"Tier1",IF(ISNUMBER(SEARCH("Tier2",Table1[[#This Row],[Campaign_Name]])),"Tier2","Not Applicable"))</f>
        <v>Not Applicable</v>
      </c>
      <c r="H20" t="s">
        <v>61</v>
      </c>
      <c r="I20" s="3">
        <v>169.75</v>
      </c>
      <c r="J20" s="7">
        <v>10033</v>
      </c>
      <c r="K20" s="7">
        <v>301</v>
      </c>
      <c r="L20" s="7">
        <v>0</v>
      </c>
      <c r="M20" s="7">
        <v>0</v>
      </c>
      <c r="N20" s="2">
        <v>0</v>
      </c>
      <c r="O20" s="6">
        <f>Table1[[#This Row],[Clicks]]/Table1[[#This Row],[Impressions]]</f>
        <v>3.000099671085418E-2</v>
      </c>
      <c r="P20" s="6">
        <f>Table1[[#This Row],[Leads]]/Table1[[#This Row],[Clicks]]</f>
        <v>0</v>
      </c>
      <c r="Q20" s="6" t="str">
        <f>IF(Table1[[#This Row],[Conversion1]]&gt;=2%,"High","Low")</f>
        <v>Low</v>
      </c>
      <c r="R20" s="6">
        <f>IFERROR(Table1[[#This Row],[Orders]]/Table1[[#This Row],[Leads]],0)</f>
        <v>0</v>
      </c>
      <c r="S20" s="6" t="str">
        <f>IF(Table1[[#This Row],[Conversion2]]&gt;=15%,"High","Low")</f>
        <v>Low</v>
      </c>
      <c r="T20" s="4">
        <f>IFERROR(Table1[[#This Row],[Revenue]]/Table1[[#This Row],[Orders]],0)</f>
        <v>0</v>
      </c>
      <c r="U20" s="4">
        <f>Table1[[#This Row],[Market_Budget]]/Table1[[#This Row],[Clicks]]</f>
        <v>0.56395348837209303</v>
      </c>
      <c r="V20" s="4">
        <f>IFERROR(Table1[[#This Row],[Market_Budget]]/Table1[[#This Row],[Leads]],0)</f>
        <v>0</v>
      </c>
      <c r="W20" s="4">
        <f>IFERROR(Table1[[#This Row],[Market_Budget]]/Table1[[#This Row],[Orders]],0)</f>
        <v>0</v>
      </c>
      <c r="X20" s="15">
        <f>(Table1[[#This Row],[Revenue]]-Table1[[#This Row],[Market_Budget]])/Table1[[#This Row],[Market_Budget]]</f>
        <v>-1</v>
      </c>
      <c r="Y20" s="5">
        <f>Table1[[#This Row],[Revenue]]-Table1[[#This Row],[Market_Budget]]</f>
        <v>-169.75</v>
      </c>
    </row>
    <row r="21" spans="1:25" x14ac:dyDescent="0.35">
      <c r="A21">
        <v>544756</v>
      </c>
      <c r="B21" s="1">
        <v>44229</v>
      </c>
      <c r="C21" s="1" t="str">
        <f>TEXT(Table1[[#This Row],[Date]],"dddd")</f>
        <v>Tuesday</v>
      </c>
      <c r="D21" s="1" t="str">
        <f>IF(WEEKDAY(Table1[[#This Row],[Date]],2)&gt;5,"Weekend","Weekday")</f>
        <v>Weekday</v>
      </c>
      <c r="E21" t="s">
        <v>44</v>
      </c>
      <c r="F21" t="str">
        <f>_xlfn.TEXTAFTER(Table1[[#This Row],[Campaign_Name]],"_")</f>
        <v>Lal</v>
      </c>
      <c r="G21" t="str">
        <f>IF(ISNUMBER(SEARCH("Tier1",Table1[[#This Row],[Campaign_Name]])),"Tier1",IF(ISNUMBER(SEARCH("Tier2",Table1[[#This Row],[Campaign_Name]])),"Tier2","Not Applicable"))</f>
        <v>Not Applicable</v>
      </c>
      <c r="H21" t="s">
        <v>61</v>
      </c>
      <c r="I21" s="3">
        <v>8829.07</v>
      </c>
      <c r="J21" s="7">
        <v>107553</v>
      </c>
      <c r="K21" s="7">
        <v>1196</v>
      </c>
      <c r="L21" s="7">
        <v>7</v>
      </c>
      <c r="M21" s="7">
        <v>1</v>
      </c>
      <c r="N21" s="2">
        <v>1129</v>
      </c>
      <c r="O21" s="6">
        <f>Table1[[#This Row],[Clicks]]/Table1[[#This Row],[Impressions]]</f>
        <v>1.1120098927970397E-2</v>
      </c>
      <c r="P21" s="6">
        <f>Table1[[#This Row],[Leads]]/Table1[[#This Row],[Clicks]]</f>
        <v>5.8528428093645481E-3</v>
      </c>
      <c r="Q21" s="6" t="str">
        <f>IF(Table1[[#This Row],[Conversion1]]&gt;=2%,"High","Low")</f>
        <v>Low</v>
      </c>
      <c r="R21" s="6">
        <f>IFERROR(Table1[[#This Row],[Orders]]/Table1[[#This Row],[Leads]],0)</f>
        <v>0.14285714285714285</v>
      </c>
      <c r="S21" s="6" t="str">
        <f>IF(Table1[[#This Row],[Conversion2]]&gt;=15%,"High","Low")</f>
        <v>Low</v>
      </c>
      <c r="T21" s="4">
        <f>IFERROR(Table1[[#This Row],[Revenue]]/Table1[[#This Row],[Orders]],0)</f>
        <v>1129</v>
      </c>
      <c r="U21" s="4">
        <f>Table1[[#This Row],[Market_Budget]]/Table1[[#This Row],[Clicks]]</f>
        <v>7.3821655518394644</v>
      </c>
      <c r="V21" s="4">
        <f>IFERROR(Table1[[#This Row],[Market_Budget]]/Table1[[#This Row],[Leads]],0)</f>
        <v>1261.2957142857142</v>
      </c>
      <c r="W21" s="4">
        <f>IFERROR(Table1[[#This Row],[Market_Budget]]/Table1[[#This Row],[Orders]],0)</f>
        <v>8829.07</v>
      </c>
      <c r="X21" s="15">
        <f>(Table1[[#This Row],[Revenue]]-Table1[[#This Row],[Market_Budget]])/Table1[[#This Row],[Market_Budget]]</f>
        <v>-0.87212696240940435</v>
      </c>
      <c r="Y21" s="5">
        <f>Table1[[#This Row],[Revenue]]-Table1[[#This Row],[Market_Budget]]</f>
        <v>-7700.07</v>
      </c>
    </row>
    <row r="22" spans="1:25" x14ac:dyDescent="0.35">
      <c r="A22">
        <v>374754</v>
      </c>
      <c r="B22" s="1">
        <v>44229</v>
      </c>
      <c r="C22" s="1" t="str">
        <f>TEXT(Table1[[#This Row],[Date]],"dddd")</f>
        <v>Tuesday</v>
      </c>
      <c r="D22" s="1" t="str">
        <f>IF(WEEKDAY(Table1[[#This Row],[Date]],2)&gt;5,"Weekend","Weekday")</f>
        <v>Weekday</v>
      </c>
      <c r="E22" t="s">
        <v>45</v>
      </c>
      <c r="F22" t="str">
        <f>_xlfn.TEXTAFTER(Table1[[#This Row],[Campaign_Name]],"_")</f>
        <v>Blogger</v>
      </c>
      <c r="G22" t="str">
        <f>IF(ISNUMBER(SEARCH("Tier1",Table1[[#This Row],[Campaign_Name]])),"Tier1",IF(ISNUMBER(SEARCH("Tier2",Table1[[#This Row],[Campaign_Name]])),"Tier2","Not Applicable"))</f>
        <v>Not Applicable</v>
      </c>
      <c r="H22" t="s">
        <v>48</v>
      </c>
      <c r="I22" s="3">
        <v>13919.1</v>
      </c>
      <c r="J22" s="7">
        <v>299600</v>
      </c>
      <c r="K22" s="7">
        <v>2996</v>
      </c>
      <c r="L22" s="7">
        <v>19</v>
      </c>
      <c r="M22" s="7">
        <v>3</v>
      </c>
      <c r="N22" s="2">
        <v>14466</v>
      </c>
      <c r="O22" s="6">
        <f>Table1[[#This Row],[Clicks]]/Table1[[#This Row],[Impressions]]</f>
        <v>0.01</v>
      </c>
      <c r="P22" s="6">
        <f>Table1[[#This Row],[Leads]]/Table1[[#This Row],[Clicks]]</f>
        <v>6.3417890520694256E-3</v>
      </c>
      <c r="Q22" s="6" t="str">
        <f>IF(Table1[[#This Row],[Conversion1]]&gt;=2%,"High","Low")</f>
        <v>Low</v>
      </c>
      <c r="R22" s="6">
        <f>IFERROR(Table1[[#This Row],[Orders]]/Table1[[#This Row],[Leads]],0)</f>
        <v>0.15789473684210525</v>
      </c>
      <c r="S22" s="6" t="str">
        <f>IF(Table1[[#This Row],[Conversion2]]&gt;=15%,"High","Low")</f>
        <v>High</v>
      </c>
      <c r="T22" s="4">
        <f>IFERROR(Table1[[#This Row],[Revenue]]/Table1[[#This Row],[Orders]],0)</f>
        <v>4822</v>
      </c>
      <c r="U22" s="4">
        <f>Table1[[#This Row],[Market_Budget]]/Table1[[#This Row],[Clicks]]</f>
        <v>4.6458945260347129</v>
      </c>
      <c r="V22" s="4">
        <f>IFERROR(Table1[[#This Row],[Market_Budget]]/Table1[[#This Row],[Leads]],0)</f>
        <v>732.58421052631581</v>
      </c>
      <c r="W22" s="4">
        <f>IFERROR(Table1[[#This Row],[Market_Budget]]/Table1[[#This Row],[Orders]],0)</f>
        <v>4639.7</v>
      </c>
      <c r="X22" s="15">
        <f>(Table1[[#This Row],[Revenue]]-Table1[[#This Row],[Market_Budget]])/Table1[[#This Row],[Market_Budget]]</f>
        <v>3.9291333491389503E-2</v>
      </c>
      <c r="Y22" s="5">
        <f>Table1[[#This Row],[Revenue]]-Table1[[#This Row],[Market_Budget]]</f>
        <v>546.89999999999964</v>
      </c>
    </row>
    <row r="23" spans="1:25" x14ac:dyDescent="0.35">
      <c r="A23">
        <v>39889</v>
      </c>
      <c r="B23" s="1">
        <v>44229</v>
      </c>
      <c r="C23" s="1" t="str">
        <f>TEXT(Table1[[#This Row],[Date]],"dddd")</f>
        <v>Tuesday</v>
      </c>
      <c r="D23" s="1" t="str">
        <f>IF(WEEKDAY(Table1[[#This Row],[Date]],2)&gt;5,"Weekend","Weekday")</f>
        <v>Weekday</v>
      </c>
      <c r="E23" t="s">
        <v>46</v>
      </c>
      <c r="F23" t="str">
        <f>_xlfn.TEXTAFTER(Table1[[#This Row],[Campaign_Name]],"_")</f>
        <v>Partner</v>
      </c>
      <c r="G23" t="str">
        <f>IF(ISNUMBER(SEARCH("Tier1",Table1[[#This Row],[Campaign_Name]])),"Tier1",IF(ISNUMBER(SEARCH("Tier2",Table1[[#This Row],[Campaign_Name]])),"Tier2","Not Applicable"))</f>
        <v>Not Applicable</v>
      </c>
      <c r="H23" t="s">
        <v>62</v>
      </c>
      <c r="I23" s="3">
        <v>46159.8</v>
      </c>
      <c r="J23" s="7">
        <v>42000000</v>
      </c>
      <c r="K23" s="7">
        <v>4200</v>
      </c>
      <c r="L23" s="7">
        <v>92</v>
      </c>
      <c r="M23" s="7">
        <v>13</v>
      </c>
      <c r="N23" s="2">
        <v>51753</v>
      </c>
      <c r="O23" s="6">
        <f>Table1[[#This Row],[Clicks]]/Table1[[#This Row],[Impressions]]</f>
        <v>1E-4</v>
      </c>
      <c r="P23" s="6">
        <f>Table1[[#This Row],[Leads]]/Table1[[#This Row],[Clicks]]</f>
        <v>2.1904761904761906E-2</v>
      </c>
      <c r="Q23" s="6" t="str">
        <f>IF(Table1[[#This Row],[Conversion1]]&gt;=2%,"High","Low")</f>
        <v>High</v>
      </c>
      <c r="R23" s="6">
        <f>IFERROR(Table1[[#This Row],[Orders]]/Table1[[#This Row],[Leads]],0)</f>
        <v>0.14130434782608695</v>
      </c>
      <c r="S23" s="6" t="str">
        <f>IF(Table1[[#This Row],[Conversion2]]&gt;=15%,"High","Low")</f>
        <v>Low</v>
      </c>
      <c r="T23" s="4">
        <f>IFERROR(Table1[[#This Row],[Revenue]]/Table1[[#This Row],[Orders]],0)</f>
        <v>3981</v>
      </c>
      <c r="U23" s="4">
        <f>Table1[[#This Row],[Market_Budget]]/Table1[[#This Row],[Clicks]]</f>
        <v>10.990428571428572</v>
      </c>
      <c r="V23" s="4">
        <f>IFERROR(Table1[[#This Row],[Market_Budget]]/Table1[[#This Row],[Leads]],0)</f>
        <v>501.73695652173916</v>
      </c>
      <c r="W23" s="4">
        <f>IFERROR(Table1[[#This Row],[Market_Budget]]/Table1[[#This Row],[Orders]],0)</f>
        <v>3550.7538461538466</v>
      </c>
      <c r="X23" s="15">
        <f>(Table1[[#This Row],[Revenue]]-Table1[[#This Row],[Market_Budget]])/Table1[[#This Row],[Market_Budget]]</f>
        <v>0.12117036902239604</v>
      </c>
      <c r="Y23" s="5">
        <f>Table1[[#This Row],[Revenue]]-Table1[[#This Row],[Market_Budget]]</f>
        <v>5593.1999999999971</v>
      </c>
    </row>
    <row r="24" spans="1:25" x14ac:dyDescent="0.35">
      <c r="A24">
        <v>349043</v>
      </c>
      <c r="B24" s="1">
        <v>44230</v>
      </c>
      <c r="C24" s="1" t="str">
        <f>TEXT(Table1[[#This Row],[Date]],"dddd")</f>
        <v>Wednesday</v>
      </c>
      <c r="D24" s="1" t="str">
        <f>IF(WEEKDAY(Table1[[#This Row],[Date]],2)&gt;5,"Weekend","Weekday")</f>
        <v>Weekday</v>
      </c>
      <c r="E24" t="s">
        <v>36</v>
      </c>
      <c r="F24" t="str">
        <f>_xlfn.TEXTAFTER(Table1[[#This Row],[Campaign_Name]],"_")</f>
        <v>Tier1</v>
      </c>
      <c r="G24" t="str">
        <f>IF(ISNUMBER(SEARCH("Tier1",Table1[[#This Row],[Campaign_Name]])),"Tier1",IF(ISNUMBER(SEARCH("Tier2",Table1[[#This Row],[Campaign_Name]])),"Tier2","Not Applicable"))</f>
        <v>Tier1</v>
      </c>
      <c r="H24" t="s">
        <v>61</v>
      </c>
      <c r="I24" s="3">
        <v>65284.4</v>
      </c>
      <c r="J24" s="7">
        <v>2313889</v>
      </c>
      <c r="K24" s="7">
        <v>7197</v>
      </c>
      <c r="L24" s="7">
        <v>115</v>
      </c>
      <c r="M24" s="7">
        <v>13</v>
      </c>
      <c r="N24" s="2">
        <v>72527</v>
      </c>
      <c r="O24" s="6">
        <f>Table1[[#This Row],[Clicks]]/Table1[[#This Row],[Impressions]]</f>
        <v>3.1103479898992562E-3</v>
      </c>
      <c r="P24" s="6">
        <f>Table1[[#This Row],[Leads]]/Table1[[#This Row],[Clicks]]</f>
        <v>1.597888008892594E-2</v>
      </c>
      <c r="Q24" s="6" t="str">
        <f>IF(Table1[[#This Row],[Conversion1]]&gt;=2%,"High","Low")</f>
        <v>Low</v>
      </c>
      <c r="R24" s="6">
        <f>IFERROR(Table1[[#This Row],[Orders]]/Table1[[#This Row],[Leads]],0)</f>
        <v>0.11304347826086956</v>
      </c>
      <c r="S24" s="6" t="str">
        <f>IF(Table1[[#This Row],[Conversion2]]&gt;=15%,"High","Low")</f>
        <v>Low</v>
      </c>
      <c r="T24" s="4">
        <f>IFERROR(Table1[[#This Row],[Revenue]]/Table1[[#This Row],[Orders]],0)</f>
        <v>5579</v>
      </c>
      <c r="U24" s="4">
        <f>Table1[[#This Row],[Market_Budget]]/Table1[[#This Row],[Clicks]]</f>
        <v>9.0710573850215361</v>
      </c>
      <c r="V24" s="4">
        <f>IFERROR(Table1[[#This Row],[Market_Budget]]/Table1[[#This Row],[Leads]],0)</f>
        <v>567.69043478260869</v>
      </c>
      <c r="W24" s="4">
        <f>IFERROR(Table1[[#This Row],[Market_Budget]]/Table1[[#This Row],[Orders]],0)</f>
        <v>5021.876923076923</v>
      </c>
      <c r="X24" s="15">
        <f>(Table1[[#This Row],[Revenue]]-Table1[[#This Row],[Market_Budget]])/Table1[[#This Row],[Market_Budget]]</f>
        <v>0.11093921365594228</v>
      </c>
      <c r="Y24" s="5">
        <f>Table1[[#This Row],[Revenue]]-Table1[[#This Row],[Market_Budget]]</f>
        <v>7242.5999999999985</v>
      </c>
    </row>
    <row r="25" spans="1:25" x14ac:dyDescent="0.35">
      <c r="A25">
        <v>348934</v>
      </c>
      <c r="B25" s="1">
        <v>44230</v>
      </c>
      <c r="C25" s="1" t="str">
        <f>TEXT(Table1[[#This Row],[Date]],"dddd")</f>
        <v>Wednesday</v>
      </c>
      <c r="D25" s="1" t="str">
        <f>IF(WEEKDAY(Table1[[#This Row],[Date]],2)&gt;5,"Weekend","Weekday")</f>
        <v>Weekday</v>
      </c>
      <c r="E25" t="s">
        <v>37</v>
      </c>
      <c r="F25" t="str">
        <f>_xlfn.TEXTAFTER(Table1[[#This Row],[Campaign_Name]],"_")</f>
        <v>Tier2</v>
      </c>
      <c r="G25" t="str">
        <f>IF(ISNUMBER(SEARCH("Tier1",Table1[[#This Row],[Campaign_Name]])),"Tier1",IF(ISNUMBER(SEARCH("Tier2",Table1[[#This Row],[Campaign_Name]])),"Tier2","Not Applicable"))</f>
        <v>Tier2</v>
      </c>
      <c r="H25" t="s">
        <v>61</v>
      </c>
      <c r="I25" s="3">
        <v>78958.3</v>
      </c>
      <c r="J25" s="7">
        <v>1105666</v>
      </c>
      <c r="K25" s="7">
        <v>9898</v>
      </c>
      <c r="L25" s="7">
        <v>226</v>
      </c>
      <c r="M25" s="7">
        <v>12</v>
      </c>
      <c r="N25" s="2">
        <v>59772</v>
      </c>
      <c r="O25" s="6">
        <f>Table1[[#This Row],[Clicks]]/Table1[[#This Row],[Impressions]]</f>
        <v>8.9520705167745046E-3</v>
      </c>
      <c r="P25" s="6">
        <f>Table1[[#This Row],[Leads]]/Table1[[#This Row],[Clicks]]</f>
        <v>2.2832895534451406E-2</v>
      </c>
      <c r="Q25" s="6" t="str">
        <f>IF(Table1[[#This Row],[Conversion1]]&gt;=2%,"High","Low")</f>
        <v>High</v>
      </c>
      <c r="R25" s="6">
        <f>IFERROR(Table1[[#This Row],[Orders]]/Table1[[#This Row],[Leads]],0)</f>
        <v>5.3097345132743362E-2</v>
      </c>
      <c r="S25" s="6" t="str">
        <f>IF(Table1[[#This Row],[Conversion2]]&gt;=15%,"High","Low")</f>
        <v>Low</v>
      </c>
      <c r="T25" s="4">
        <f>IFERROR(Table1[[#This Row],[Revenue]]/Table1[[#This Row],[Orders]],0)</f>
        <v>4981</v>
      </c>
      <c r="U25" s="4">
        <f>Table1[[#This Row],[Market_Budget]]/Table1[[#This Row],[Clicks]]</f>
        <v>7.9771974136189128</v>
      </c>
      <c r="V25" s="4">
        <f>IFERROR(Table1[[#This Row],[Market_Budget]]/Table1[[#This Row],[Leads]],0)</f>
        <v>349.37300884955755</v>
      </c>
      <c r="W25" s="4">
        <f>IFERROR(Table1[[#This Row],[Market_Budget]]/Table1[[#This Row],[Orders]],0)</f>
        <v>6579.8583333333336</v>
      </c>
      <c r="X25" s="15">
        <f>(Table1[[#This Row],[Revenue]]-Table1[[#This Row],[Market_Budget]])/Table1[[#This Row],[Market_Budget]]</f>
        <v>-0.24299282026082125</v>
      </c>
      <c r="Y25" s="5">
        <f>Table1[[#This Row],[Revenue]]-Table1[[#This Row],[Market_Budget]]</f>
        <v>-19186.300000000003</v>
      </c>
    </row>
    <row r="26" spans="1:25" x14ac:dyDescent="0.35">
      <c r="A26">
        <v>89459845</v>
      </c>
      <c r="B26" s="1">
        <v>44230</v>
      </c>
      <c r="C26" s="1" t="str">
        <f>TEXT(Table1[[#This Row],[Date]],"dddd")</f>
        <v>Wednesday</v>
      </c>
      <c r="D26" s="1" t="str">
        <f>IF(WEEKDAY(Table1[[#This Row],[Date]],2)&gt;5,"Weekend","Weekday")</f>
        <v>Weekday</v>
      </c>
      <c r="E26" t="s">
        <v>38</v>
      </c>
      <c r="F26" t="str">
        <f>_xlfn.TEXTAFTER(Table1[[#This Row],[Campaign_Name]],"_")</f>
        <v>Hot</v>
      </c>
      <c r="G26" t="str">
        <f>IF(ISNUMBER(SEARCH("Tier1",Table1[[#This Row],[Campaign_Name]])),"Tier1",IF(ISNUMBER(SEARCH("Tier2",Table1[[#This Row],[Campaign_Name]])),"Tier2","Not Applicable"))</f>
        <v>Not Applicable</v>
      </c>
      <c r="H26" t="s">
        <v>47</v>
      </c>
      <c r="I26" s="3">
        <v>77345.5</v>
      </c>
      <c r="J26" s="7">
        <v>134900</v>
      </c>
      <c r="K26" s="7">
        <v>2698</v>
      </c>
      <c r="L26" s="7">
        <v>84</v>
      </c>
      <c r="M26" s="7">
        <v>16</v>
      </c>
      <c r="N26" s="2">
        <v>115856</v>
      </c>
      <c r="O26" s="6">
        <f>Table1[[#This Row],[Clicks]]/Table1[[#This Row],[Impressions]]</f>
        <v>0.02</v>
      </c>
      <c r="P26" s="6">
        <f>Table1[[#This Row],[Leads]]/Table1[[#This Row],[Clicks]]</f>
        <v>3.1134173461823574E-2</v>
      </c>
      <c r="Q26" s="6" t="str">
        <f>IF(Table1[[#This Row],[Conversion1]]&gt;=2%,"High","Low")</f>
        <v>High</v>
      </c>
      <c r="R26" s="6">
        <f>IFERROR(Table1[[#This Row],[Orders]]/Table1[[#This Row],[Leads]],0)</f>
        <v>0.19047619047619047</v>
      </c>
      <c r="S26" s="6" t="str">
        <f>IF(Table1[[#This Row],[Conversion2]]&gt;=15%,"High","Low")</f>
        <v>High</v>
      </c>
      <c r="T26" s="4">
        <f>IFERROR(Table1[[#This Row],[Revenue]]/Table1[[#This Row],[Orders]],0)</f>
        <v>7241</v>
      </c>
      <c r="U26" s="4">
        <f>Table1[[#This Row],[Market_Budget]]/Table1[[#This Row],[Clicks]]</f>
        <v>28.667716827279467</v>
      </c>
      <c r="V26" s="4">
        <f>IFERROR(Table1[[#This Row],[Market_Budget]]/Table1[[#This Row],[Leads]],0)</f>
        <v>920.77976190476193</v>
      </c>
      <c r="W26" s="4">
        <f>IFERROR(Table1[[#This Row],[Market_Budget]]/Table1[[#This Row],[Orders]],0)</f>
        <v>4834.09375</v>
      </c>
      <c r="X26" s="15">
        <f>(Table1[[#This Row],[Revenue]]-Table1[[#This Row],[Market_Budget]])/Table1[[#This Row],[Market_Budget]]</f>
        <v>0.49790226968601925</v>
      </c>
      <c r="Y26" s="5">
        <f>Table1[[#This Row],[Revenue]]-Table1[[#This Row],[Market_Budget]]</f>
        <v>38510.5</v>
      </c>
    </row>
    <row r="27" spans="1:25" x14ac:dyDescent="0.35">
      <c r="A27">
        <v>127823</v>
      </c>
      <c r="B27" s="1">
        <v>44230</v>
      </c>
      <c r="C27" s="1" t="str">
        <f>TEXT(Table1[[#This Row],[Date]],"dddd")</f>
        <v>Wednesday</v>
      </c>
      <c r="D27" s="1" t="str">
        <f>IF(WEEKDAY(Table1[[#This Row],[Date]],2)&gt;5,"Weekend","Weekday")</f>
        <v>Weekday</v>
      </c>
      <c r="E27" t="s">
        <v>39</v>
      </c>
      <c r="F27" t="str">
        <f>_xlfn.TEXTAFTER(Table1[[#This Row],[Campaign_Name]],"_")</f>
        <v>Wide</v>
      </c>
      <c r="G27" t="str">
        <f>IF(ISNUMBER(SEARCH("Tier1",Table1[[#This Row],[Campaign_Name]])),"Tier1",IF(ISNUMBER(SEARCH("Tier2",Table1[[#This Row],[Campaign_Name]])),"Tier2","Not Applicable"))</f>
        <v>Not Applicable</v>
      </c>
      <c r="H27" t="s">
        <v>47</v>
      </c>
      <c r="I27" s="3">
        <v>49498.9</v>
      </c>
      <c r="J27" s="7">
        <v>4371854</v>
      </c>
      <c r="K27" s="7">
        <v>7207</v>
      </c>
      <c r="L27" s="7">
        <v>144</v>
      </c>
      <c r="M27" s="7">
        <v>13</v>
      </c>
      <c r="N27" s="2">
        <v>38753</v>
      </c>
      <c r="O27" s="6">
        <f>Table1[[#This Row],[Clicks]]/Table1[[#This Row],[Impressions]]</f>
        <v>1.6484996982973356E-3</v>
      </c>
      <c r="P27" s="6">
        <f>Table1[[#This Row],[Leads]]/Table1[[#This Row],[Clicks]]</f>
        <v>1.9980574441515193E-2</v>
      </c>
      <c r="Q27" s="6" t="str">
        <f>IF(Table1[[#This Row],[Conversion1]]&gt;=2%,"High","Low")</f>
        <v>Low</v>
      </c>
      <c r="R27" s="6">
        <f>IFERROR(Table1[[#This Row],[Orders]]/Table1[[#This Row],[Leads]],0)</f>
        <v>9.0277777777777776E-2</v>
      </c>
      <c r="S27" s="6" t="str">
        <f>IF(Table1[[#This Row],[Conversion2]]&gt;=15%,"High","Low")</f>
        <v>Low</v>
      </c>
      <c r="T27" s="4">
        <f>IFERROR(Table1[[#This Row],[Revenue]]/Table1[[#This Row],[Orders]],0)</f>
        <v>2981</v>
      </c>
      <c r="U27" s="4">
        <f>Table1[[#This Row],[Market_Budget]]/Table1[[#This Row],[Clicks]]</f>
        <v>6.8681698348827531</v>
      </c>
      <c r="V27" s="4">
        <f>IFERROR(Table1[[#This Row],[Market_Budget]]/Table1[[#This Row],[Leads]],0)</f>
        <v>343.74236111111111</v>
      </c>
      <c r="W27" s="4">
        <f>IFERROR(Table1[[#This Row],[Market_Budget]]/Table1[[#This Row],[Orders]],0)</f>
        <v>3807.6076923076926</v>
      </c>
      <c r="X27" s="15">
        <f>(Table1[[#This Row],[Revenue]]-Table1[[#This Row],[Market_Budget]])/Table1[[#This Row],[Market_Budget]]</f>
        <v>-0.21709371319362655</v>
      </c>
      <c r="Y27" s="5">
        <f>Table1[[#This Row],[Revenue]]-Table1[[#This Row],[Market_Budget]]</f>
        <v>-10745.900000000001</v>
      </c>
    </row>
    <row r="28" spans="1:25" x14ac:dyDescent="0.35">
      <c r="A28">
        <v>10934</v>
      </c>
      <c r="B28" s="1">
        <v>44230</v>
      </c>
      <c r="C28" s="1" t="str">
        <f>TEXT(Table1[[#This Row],[Date]],"dddd")</f>
        <v>Wednesday</v>
      </c>
      <c r="D28" s="1" t="str">
        <f>IF(WEEKDAY(Table1[[#This Row],[Date]],2)&gt;5,"Weekend","Weekday")</f>
        <v>Weekday</v>
      </c>
      <c r="E28" t="s">
        <v>40</v>
      </c>
      <c r="F28" t="str">
        <f>_xlfn.TEXTAFTER(Table1[[#This Row],[Campaign_Name]],"_")</f>
        <v>Blogger</v>
      </c>
      <c r="G28" t="str">
        <f>IF(ISNUMBER(SEARCH("Tier1",Table1[[#This Row],[Campaign_Name]])),"Tier1",IF(ISNUMBER(SEARCH("Tier2",Table1[[#This Row],[Campaign_Name]])),"Tier2","Not Applicable"))</f>
        <v>Not Applicable</v>
      </c>
      <c r="H28" t="s">
        <v>48</v>
      </c>
      <c r="I28" s="3">
        <v>189341</v>
      </c>
      <c r="J28" s="7">
        <v>1035261</v>
      </c>
      <c r="K28" s="7">
        <v>13503</v>
      </c>
      <c r="L28" s="7">
        <v>455</v>
      </c>
      <c r="M28" s="7">
        <v>91</v>
      </c>
      <c r="N28" s="2">
        <v>772499</v>
      </c>
      <c r="O28" s="6">
        <f>Table1[[#This Row],[Clicks]]/Table1[[#This Row],[Impressions]]</f>
        <v>1.3043087685134474E-2</v>
      </c>
      <c r="P28" s="6">
        <f>Table1[[#This Row],[Leads]]/Table1[[#This Row],[Clicks]]</f>
        <v>3.3696215655780196E-2</v>
      </c>
      <c r="Q28" s="6" t="str">
        <f>IF(Table1[[#This Row],[Conversion1]]&gt;=2%,"High","Low")</f>
        <v>High</v>
      </c>
      <c r="R28" s="6">
        <f>IFERROR(Table1[[#This Row],[Orders]]/Table1[[#This Row],[Leads]],0)</f>
        <v>0.2</v>
      </c>
      <c r="S28" s="6" t="str">
        <f>IF(Table1[[#This Row],[Conversion2]]&gt;=15%,"High","Low")</f>
        <v>High</v>
      </c>
      <c r="T28" s="4">
        <f>IFERROR(Table1[[#This Row],[Revenue]]/Table1[[#This Row],[Orders]],0)</f>
        <v>8489</v>
      </c>
      <c r="U28" s="4">
        <f>Table1[[#This Row],[Market_Budget]]/Table1[[#This Row],[Clicks]]</f>
        <v>14.022143227430941</v>
      </c>
      <c r="V28" s="4">
        <f>IFERROR(Table1[[#This Row],[Market_Budget]]/Table1[[#This Row],[Leads]],0)</f>
        <v>416.13406593406592</v>
      </c>
      <c r="W28" s="4">
        <f>IFERROR(Table1[[#This Row],[Market_Budget]]/Table1[[#This Row],[Orders]],0)</f>
        <v>2080.6703296703295</v>
      </c>
      <c r="X28" s="15">
        <f>(Table1[[#This Row],[Revenue]]-Table1[[#This Row],[Market_Budget]])/Table1[[#This Row],[Market_Budget]]</f>
        <v>3.0799351434713031</v>
      </c>
      <c r="Y28" s="5">
        <f>Table1[[#This Row],[Revenue]]-Table1[[#This Row],[Market_Budget]]</f>
        <v>583158</v>
      </c>
    </row>
    <row r="29" spans="1:25" x14ac:dyDescent="0.35">
      <c r="A29">
        <v>9034945</v>
      </c>
      <c r="B29" s="1">
        <v>44230</v>
      </c>
      <c r="C29" s="1" t="str">
        <f>TEXT(Table1[[#This Row],[Date]],"dddd")</f>
        <v>Wednesday</v>
      </c>
      <c r="D29" s="1" t="str">
        <f>IF(WEEKDAY(Table1[[#This Row],[Date]],2)&gt;5,"Weekend","Weekday")</f>
        <v>Weekday</v>
      </c>
      <c r="E29" t="s">
        <v>41</v>
      </c>
      <c r="F29" t="str">
        <f>_xlfn.TEXTAFTER(Table1[[#This Row],[Campaign_Name]],"_")</f>
        <v>Tier1</v>
      </c>
      <c r="G29" t="str">
        <f>IF(ISNUMBER(SEARCH("Tier1",Table1[[#This Row],[Campaign_Name]])),"Tier1",IF(ISNUMBER(SEARCH("Tier2",Table1[[#This Row],[Campaign_Name]])),"Tier2","Not Applicable"))</f>
        <v>Tier1</v>
      </c>
      <c r="H29" t="s">
        <v>61</v>
      </c>
      <c r="I29" s="3">
        <v>62509.8</v>
      </c>
      <c r="J29" s="7">
        <v>1618600</v>
      </c>
      <c r="K29" s="7">
        <v>8093</v>
      </c>
      <c r="L29" s="7">
        <v>166</v>
      </c>
      <c r="M29" s="7">
        <v>15</v>
      </c>
      <c r="N29" s="2">
        <v>84600</v>
      </c>
      <c r="O29" s="6">
        <f>Table1[[#This Row],[Clicks]]/Table1[[#This Row],[Impressions]]</f>
        <v>5.0000000000000001E-3</v>
      </c>
      <c r="P29" s="6">
        <f>Table1[[#This Row],[Leads]]/Table1[[#This Row],[Clicks]]</f>
        <v>2.0511553194118372E-2</v>
      </c>
      <c r="Q29" s="6" t="str">
        <f>IF(Table1[[#This Row],[Conversion1]]&gt;=2%,"High","Low")</f>
        <v>High</v>
      </c>
      <c r="R29" s="6">
        <f>IFERROR(Table1[[#This Row],[Orders]]/Table1[[#This Row],[Leads]],0)</f>
        <v>9.036144578313253E-2</v>
      </c>
      <c r="S29" s="6" t="str">
        <f>IF(Table1[[#This Row],[Conversion2]]&gt;=15%,"High","Low")</f>
        <v>Low</v>
      </c>
      <c r="T29" s="4">
        <f>IFERROR(Table1[[#This Row],[Revenue]]/Table1[[#This Row],[Orders]],0)</f>
        <v>5640</v>
      </c>
      <c r="U29" s="4">
        <f>Table1[[#This Row],[Market_Budget]]/Table1[[#This Row],[Clicks]]</f>
        <v>7.7239342641789204</v>
      </c>
      <c r="V29" s="4">
        <f>IFERROR(Table1[[#This Row],[Market_Budget]]/Table1[[#This Row],[Leads]],0)</f>
        <v>376.56506024096387</v>
      </c>
      <c r="W29" s="4">
        <f>IFERROR(Table1[[#This Row],[Market_Budget]]/Table1[[#This Row],[Orders]],0)</f>
        <v>4167.3200000000006</v>
      </c>
      <c r="X29" s="15">
        <f>(Table1[[#This Row],[Revenue]]-Table1[[#This Row],[Market_Budget]])/Table1[[#This Row],[Market_Budget]]</f>
        <v>0.35338778879471694</v>
      </c>
      <c r="Y29" s="5">
        <f>Table1[[#This Row],[Revenue]]-Table1[[#This Row],[Market_Budget]]</f>
        <v>22090.199999999997</v>
      </c>
    </row>
    <row r="30" spans="1:25" x14ac:dyDescent="0.35">
      <c r="A30">
        <v>983498</v>
      </c>
      <c r="B30" s="1">
        <v>44230</v>
      </c>
      <c r="C30" s="1" t="str">
        <f>TEXT(Table1[[#This Row],[Date]],"dddd")</f>
        <v>Wednesday</v>
      </c>
      <c r="D30" s="1" t="str">
        <f>IF(WEEKDAY(Table1[[#This Row],[Date]],2)&gt;5,"Weekend","Weekday")</f>
        <v>Weekday</v>
      </c>
      <c r="E30" t="s">
        <v>42</v>
      </c>
      <c r="F30" t="str">
        <f>_xlfn.TEXTAFTER(Table1[[#This Row],[Campaign_Name]],"_")</f>
        <v>Tier2</v>
      </c>
      <c r="G30" t="str">
        <f>IF(ISNUMBER(SEARCH("Tier1",Table1[[#This Row],[Campaign_Name]])),"Tier1",IF(ISNUMBER(SEARCH("Tier2",Table1[[#This Row],[Campaign_Name]])),"Tier2","Not Applicable"))</f>
        <v>Tier2</v>
      </c>
      <c r="H30" t="s">
        <v>61</v>
      </c>
      <c r="I30" s="3">
        <v>94399.9</v>
      </c>
      <c r="J30" s="7">
        <v>3059600</v>
      </c>
      <c r="K30" s="7">
        <v>15298</v>
      </c>
      <c r="L30" s="7">
        <v>592</v>
      </c>
      <c r="M30" s="7">
        <v>36</v>
      </c>
      <c r="N30" s="2">
        <v>104184</v>
      </c>
      <c r="O30" s="6">
        <f>Table1[[#This Row],[Clicks]]/Table1[[#This Row],[Impressions]]</f>
        <v>5.0000000000000001E-3</v>
      </c>
      <c r="P30" s="6">
        <f>Table1[[#This Row],[Leads]]/Table1[[#This Row],[Clicks]]</f>
        <v>3.8697869002483988E-2</v>
      </c>
      <c r="Q30" s="6" t="str">
        <f>IF(Table1[[#This Row],[Conversion1]]&gt;=2%,"High","Low")</f>
        <v>High</v>
      </c>
      <c r="R30" s="6">
        <f>IFERROR(Table1[[#This Row],[Orders]]/Table1[[#This Row],[Leads]],0)</f>
        <v>6.0810810810810814E-2</v>
      </c>
      <c r="S30" s="6" t="str">
        <f>IF(Table1[[#This Row],[Conversion2]]&gt;=15%,"High","Low")</f>
        <v>Low</v>
      </c>
      <c r="T30" s="4">
        <f>IFERROR(Table1[[#This Row],[Revenue]]/Table1[[#This Row],[Orders]],0)</f>
        <v>2894</v>
      </c>
      <c r="U30" s="4">
        <f>Table1[[#This Row],[Market_Budget]]/Table1[[#This Row],[Clicks]]</f>
        <v>6.170734736566871</v>
      </c>
      <c r="V30" s="4">
        <f>IFERROR(Table1[[#This Row],[Market_Budget]]/Table1[[#This Row],[Leads]],0)</f>
        <v>159.45929054054054</v>
      </c>
      <c r="W30" s="4">
        <f>IFERROR(Table1[[#This Row],[Market_Budget]]/Table1[[#This Row],[Orders]],0)</f>
        <v>2622.2194444444444</v>
      </c>
      <c r="X30" s="15">
        <f>(Table1[[#This Row],[Revenue]]-Table1[[#This Row],[Market_Budget]])/Table1[[#This Row],[Market_Budget]]</f>
        <v>0.10364523691232731</v>
      </c>
      <c r="Y30" s="5">
        <f>Table1[[#This Row],[Revenue]]-Table1[[#This Row],[Market_Budget]]</f>
        <v>9784.1000000000058</v>
      </c>
    </row>
    <row r="31" spans="1:25" x14ac:dyDescent="0.35">
      <c r="A31">
        <v>4387490</v>
      </c>
      <c r="B31" s="1">
        <v>44230</v>
      </c>
      <c r="C31" s="1" t="str">
        <f>TEXT(Table1[[#This Row],[Date]],"dddd")</f>
        <v>Wednesday</v>
      </c>
      <c r="D31" s="1" t="str">
        <f>IF(WEEKDAY(Table1[[#This Row],[Date]],2)&gt;5,"Weekend","Weekday")</f>
        <v>Weekday</v>
      </c>
      <c r="E31" t="s">
        <v>43</v>
      </c>
      <c r="F31" t="str">
        <f>_xlfn.TEXTAFTER(Table1[[#This Row],[Campaign_Name]],"_")</f>
        <v>Retargeting</v>
      </c>
      <c r="G31" t="str">
        <f>IF(ISNUMBER(SEARCH("Tier1",Table1[[#This Row],[Campaign_Name]])),"Tier1",IF(ISNUMBER(SEARCH("Tier2",Table1[[#This Row],[Campaign_Name]])),"Tier2","Not Applicable"))</f>
        <v>Not Applicable</v>
      </c>
      <c r="H31" t="s">
        <v>61</v>
      </c>
      <c r="I31" s="3">
        <v>5039.51</v>
      </c>
      <c r="J31" s="7">
        <v>29867</v>
      </c>
      <c r="K31" s="7">
        <v>896</v>
      </c>
      <c r="L31" s="7">
        <v>18</v>
      </c>
      <c r="M31" s="7">
        <v>4</v>
      </c>
      <c r="N31" s="2">
        <v>23560</v>
      </c>
      <c r="O31" s="6">
        <f>Table1[[#This Row],[Clicks]]/Table1[[#This Row],[Impressions]]</f>
        <v>2.9999665182308233E-2</v>
      </c>
      <c r="P31" s="6">
        <f>Table1[[#This Row],[Leads]]/Table1[[#This Row],[Clicks]]</f>
        <v>2.0089285714285716E-2</v>
      </c>
      <c r="Q31" s="6" t="str">
        <f>IF(Table1[[#This Row],[Conversion1]]&gt;=2%,"High","Low")</f>
        <v>High</v>
      </c>
      <c r="R31" s="6">
        <f>IFERROR(Table1[[#This Row],[Orders]]/Table1[[#This Row],[Leads]],0)</f>
        <v>0.22222222222222221</v>
      </c>
      <c r="S31" s="6" t="str">
        <f>IF(Table1[[#This Row],[Conversion2]]&gt;=15%,"High","Low")</f>
        <v>High</v>
      </c>
      <c r="T31" s="4">
        <f>IFERROR(Table1[[#This Row],[Revenue]]/Table1[[#This Row],[Orders]],0)</f>
        <v>5890</v>
      </c>
      <c r="U31" s="4">
        <f>Table1[[#This Row],[Market_Budget]]/Table1[[#This Row],[Clicks]]</f>
        <v>5.6244531250000005</v>
      </c>
      <c r="V31" s="4">
        <f>IFERROR(Table1[[#This Row],[Market_Budget]]/Table1[[#This Row],[Leads]],0)</f>
        <v>279.97277777777776</v>
      </c>
      <c r="W31" s="4">
        <f>IFERROR(Table1[[#This Row],[Market_Budget]]/Table1[[#This Row],[Orders]],0)</f>
        <v>1259.8775000000001</v>
      </c>
      <c r="X31" s="15">
        <f>(Table1[[#This Row],[Revenue]]-Table1[[#This Row],[Market_Budget]])/Table1[[#This Row],[Market_Budget]]</f>
        <v>3.6750576941012119</v>
      </c>
      <c r="Y31" s="5">
        <f>Table1[[#This Row],[Revenue]]-Table1[[#This Row],[Market_Budget]]</f>
        <v>18520.489999999998</v>
      </c>
    </row>
    <row r="32" spans="1:25" x14ac:dyDescent="0.35">
      <c r="A32">
        <v>544756</v>
      </c>
      <c r="B32" s="1">
        <v>44230</v>
      </c>
      <c r="C32" s="1" t="str">
        <f>TEXT(Table1[[#This Row],[Date]],"dddd")</f>
        <v>Wednesday</v>
      </c>
      <c r="D32" s="1" t="str">
        <f>IF(WEEKDAY(Table1[[#This Row],[Date]],2)&gt;5,"Weekend","Weekday")</f>
        <v>Weekday</v>
      </c>
      <c r="E32" t="s">
        <v>44</v>
      </c>
      <c r="F32" t="str">
        <f>_xlfn.TEXTAFTER(Table1[[#This Row],[Campaign_Name]],"_")</f>
        <v>Lal</v>
      </c>
      <c r="G32" t="str">
        <f>IF(ISNUMBER(SEARCH("Tier1",Table1[[#This Row],[Campaign_Name]])),"Tier1",IF(ISNUMBER(SEARCH("Tier2",Table1[[#This Row],[Campaign_Name]])),"Tier2","Not Applicable"))</f>
        <v>Not Applicable</v>
      </c>
      <c r="H32" t="s">
        <v>61</v>
      </c>
      <c r="I32" s="3">
        <v>76716.399999999994</v>
      </c>
      <c r="J32" s="7">
        <v>295009</v>
      </c>
      <c r="K32" s="7">
        <v>3595</v>
      </c>
      <c r="L32" s="7">
        <v>72</v>
      </c>
      <c r="M32" s="7">
        <v>9</v>
      </c>
      <c r="N32" s="2">
        <v>5607</v>
      </c>
      <c r="O32" s="6">
        <f>Table1[[#This Row],[Clicks]]/Table1[[#This Row],[Impressions]]</f>
        <v>1.2186068899592895E-2</v>
      </c>
      <c r="P32" s="6">
        <f>Table1[[#This Row],[Leads]]/Table1[[#This Row],[Clicks]]</f>
        <v>2.0027816411682893E-2</v>
      </c>
      <c r="Q32" s="6" t="str">
        <f>IF(Table1[[#This Row],[Conversion1]]&gt;=2%,"High","Low")</f>
        <v>High</v>
      </c>
      <c r="R32" s="6">
        <f>IFERROR(Table1[[#This Row],[Orders]]/Table1[[#This Row],[Leads]],0)</f>
        <v>0.125</v>
      </c>
      <c r="S32" s="6" t="str">
        <f>IF(Table1[[#This Row],[Conversion2]]&gt;=15%,"High","Low")</f>
        <v>Low</v>
      </c>
      <c r="T32" s="4">
        <f>IFERROR(Table1[[#This Row],[Revenue]]/Table1[[#This Row],[Orders]],0)</f>
        <v>623</v>
      </c>
      <c r="U32" s="4">
        <f>Table1[[#This Row],[Market_Budget]]/Table1[[#This Row],[Clicks]]</f>
        <v>21.339749652294852</v>
      </c>
      <c r="V32" s="4">
        <f>IFERROR(Table1[[#This Row],[Market_Budget]]/Table1[[#This Row],[Leads]],0)</f>
        <v>1065.5055555555555</v>
      </c>
      <c r="W32" s="4">
        <f>IFERROR(Table1[[#This Row],[Market_Budget]]/Table1[[#This Row],[Orders]],0)</f>
        <v>8524.0444444444438</v>
      </c>
      <c r="X32" s="15">
        <f>(Table1[[#This Row],[Revenue]]-Table1[[#This Row],[Market_Budget]])/Table1[[#This Row],[Market_Budget]]</f>
        <v>-0.92691262885119741</v>
      </c>
      <c r="Y32" s="5">
        <f>Table1[[#This Row],[Revenue]]-Table1[[#This Row],[Market_Budget]]</f>
        <v>-71109.399999999994</v>
      </c>
    </row>
    <row r="33" spans="1:25" x14ac:dyDescent="0.35">
      <c r="A33">
        <v>374754</v>
      </c>
      <c r="B33" s="1">
        <v>44230</v>
      </c>
      <c r="C33" s="1" t="str">
        <f>TEXT(Table1[[#This Row],[Date]],"dddd")</f>
        <v>Wednesday</v>
      </c>
      <c r="D33" s="1" t="str">
        <f>IF(WEEKDAY(Table1[[#This Row],[Date]],2)&gt;5,"Weekend","Weekday")</f>
        <v>Weekday</v>
      </c>
      <c r="E33" t="s">
        <v>45</v>
      </c>
      <c r="F33" t="str">
        <f>_xlfn.TEXTAFTER(Table1[[#This Row],[Campaign_Name]],"_")</f>
        <v>Blogger</v>
      </c>
      <c r="G33" t="str">
        <f>IF(ISNUMBER(SEARCH("Tier1",Table1[[#This Row],[Campaign_Name]])),"Tier1",IF(ISNUMBER(SEARCH("Tier2",Table1[[#This Row],[Campaign_Name]])),"Tier2","Not Applicable"))</f>
        <v>Not Applicable</v>
      </c>
      <c r="H33" t="s">
        <v>48</v>
      </c>
      <c r="I33" s="3">
        <v>194336</v>
      </c>
      <c r="J33" s="7">
        <v>667352</v>
      </c>
      <c r="K33" s="7">
        <v>8996</v>
      </c>
      <c r="L33" s="7">
        <v>342</v>
      </c>
      <c r="M33" s="7">
        <v>51</v>
      </c>
      <c r="N33" s="2">
        <v>254031</v>
      </c>
      <c r="O33" s="6">
        <f>Table1[[#This Row],[Clicks]]/Table1[[#This Row],[Impressions]]</f>
        <v>1.3480142413598821E-2</v>
      </c>
      <c r="P33" s="6">
        <f>Table1[[#This Row],[Leads]]/Table1[[#This Row],[Clicks]]</f>
        <v>3.8016896398399287E-2</v>
      </c>
      <c r="Q33" s="6" t="str">
        <f>IF(Table1[[#This Row],[Conversion1]]&gt;=2%,"High","Low")</f>
        <v>High</v>
      </c>
      <c r="R33" s="6">
        <f>IFERROR(Table1[[#This Row],[Orders]]/Table1[[#This Row],[Leads]],0)</f>
        <v>0.14912280701754385</v>
      </c>
      <c r="S33" s="6" t="str">
        <f>IF(Table1[[#This Row],[Conversion2]]&gt;=15%,"High","Low")</f>
        <v>Low</v>
      </c>
      <c r="T33" s="4">
        <f>IFERROR(Table1[[#This Row],[Revenue]]/Table1[[#This Row],[Orders]],0)</f>
        <v>4981</v>
      </c>
      <c r="U33" s="4">
        <f>Table1[[#This Row],[Market_Budget]]/Table1[[#This Row],[Clicks]]</f>
        <v>21.602489995553579</v>
      </c>
      <c r="V33" s="4">
        <f>IFERROR(Table1[[#This Row],[Market_Budget]]/Table1[[#This Row],[Leads]],0)</f>
        <v>568.23391812865498</v>
      </c>
      <c r="W33" s="4">
        <f>IFERROR(Table1[[#This Row],[Market_Budget]]/Table1[[#This Row],[Orders]],0)</f>
        <v>3810.5098039215686</v>
      </c>
      <c r="X33" s="15">
        <f>(Table1[[#This Row],[Revenue]]-Table1[[#This Row],[Market_Budget]])/Table1[[#This Row],[Market_Budget]]</f>
        <v>0.30717417256710028</v>
      </c>
      <c r="Y33" s="5">
        <f>Table1[[#This Row],[Revenue]]-Table1[[#This Row],[Market_Budget]]</f>
        <v>59695</v>
      </c>
    </row>
    <row r="34" spans="1:25" x14ac:dyDescent="0.35">
      <c r="A34">
        <v>39889</v>
      </c>
      <c r="B34" s="1">
        <v>44230</v>
      </c>
      <c r="C34" s="1" t="str">
        <f>TEXT(Table1[[#This Row],[Date]],"dddd")</f>
        <v>Wednesday</v>
      </c>
      <c r="D34" s="1" t="str">
        <f>IF(WEEKDAY(Table1[[#This Row],[Date]],2)&gt;5,"Weekend","Weekday")</f>
        <v>Weekday</v>
      </c>
      <c r="E34" t="s">
        <v>46</v>
      </c>
      <c r="F34" t="str">
        <f>_xlfn.TEXTAFTER(Table1[[#This Row],[Campaign_Name]],"_")</f>
        <v>Partner</v>
      </c>
      <c r="G34" t="str">
        <f>IF(ISNUMBER(SEARCH("Tier1",Table1[[#This Row],[Campaign_Name]])),"Tier1",IF(ISNUMBER(SEARCH("Tier2",Table1[[#This Row],[Campaign_Name]])),"Tier2","Not Applicable"))</f>
        <v>Not Applicable</v>
      </c>
      <c r="H34" t="s">
        <v>62</v>
      </c>
      <c r="I34" s="3">
        <v>29378.3</v>
      </c>
      <c r="J34" s="7">
        <v>125910000</v>
      </c>
      <c r="K34" s="7">
        <v>12591</v>
      </c>
      <c r="L34" s="7">
        <v>68</v>
      </c>
      <c r="M34" s="7">
        <v>13</v>
      </c>
      <c r="N34" s="2">
        <v>51753</v>
      </c>
      <c r="O34" s="6">
        <f>Table1[[#This Row],[Clicks]]/Table1[[#This Row],[Impressions]]</f>
        <v>1E-4</v>
      </c>
      <c r="P34" s="6">
        <f>Table1[[#This Row],[Leads]]/Table1[[#This Row],[Clicks]]</f>
        <v>5.4006830275593679E-3</v>
      </c>
      <c r="Q34" s="6" t="str">
        <f>IF(Table1[[#This Row],[Conversion1]]&gt;=2%,"High","Low")</f>
        <v>Low</v>
      </c>
      <c r="R34" s="6">
        <f>IFERROR(Table1[[#This Row],[Orders]]/Table1[[#This Row],[Leads]],0)</f>
        <v>0.19117647058823528</v>
      </c>
      <c r="S34" s="6" t="str">
        <f>IF(Table1[[#This Row],[Conversion2]]&gt;=15%,"High","Low")</f>
        <v>High</v>
      </c>
      <c r="T34" s="4">
        <f>IFERROR(Table1[[#This Row],[Revenue]]/Table1[[#This Row],[Orders]],0)</f>
        <v>3981</v>
      </c>
      <c r="U34" s="4">
        <f>Table1[[#This Row],[Market_Budget]]/Table1[[#This Row],[Clicks]]</f>
        <v>2.3332777380668732</v>
      </c>
      <c r="V34" s="4">
        <f>IFERROR(Table1[[#This Row],[Market_Budget]]/Table1[[#This Row],[Leads]],0)</f>
        <v>432.03382352941173</v>
      </c>
      <c r="W34" s="4">
        <f>IFERROR(Table1[[#This Row],[Market_Budget]]/Table1[[#This Row],[Orders]],0)</f>
        <v>2259.8692307692309</v>
      </c>
      <c r="X34" s="15">
        <f>(Table1[[#This Row],[Revenue]]-Table1[[#This Row],[Market_Budget]])/Table1[[#This Row],[Market_Budget]]</f>
        <v>0.76160635571152857</v>
      </c>
      <c r="Y34" s="5">
        <f>Table1[[#This Row],[Revenue]]-Table1[[#This Row],[Market_Budget]]</f>
        <v>22374.7</v>
      </c>
    </row>
    <row r="35" spans="1:25" x14ac:dyDescent="0.35">
      <c r="A35">
        <v>349043</v>
      </c>
      <c r="B35" s="1">
        <v>44231</v>
      </c>
      <c r="C35" s="1" t="str">
        <f>TEXT(Table1[[#This Row],[Date]],"dddd")</f>
        <v>Thursday</v>
      </c>
      <c r="D35" s="1" t="str">
        <f>IF(WEEKDAY(Table1[[#This Row],[Date]],2)&gt;5,"Weekend","Weekday")</f>
        <v>Weekday</v>
      </c>
      <c r="E35" t="s">
        <v>36</v>
      </c>
      <c r="F35" t="str">
        <f>_xlfn.TEXTAFTER(Table1[[#This Row],[Campaign_Name]],"_")</f>
        <v>Tier1</v>
      </c>
      <c r="G35" t="str">
        <f>IF(ISNUMBER(SEARCH("Tier1",Table1[[#This Row],[Campaign_Name]])),"Tier1",IF(ISNUMBER(SEARCH("Tier2",Table1[[#This Row],[Campaign_Name]])),"Tier2","Not Applicable"))</f>
        <v>Tier1</v>
      </c>
      <c r="H35" t="s">
        <v>61</v>
      </c>
      <c r="I35" s="3">
        <v>173914</v>
      </c>
      <c r="J35" s="7">
        <v>2475754</v>
      </c>
      <c r="K35" s="7">
        <v>9601</v>
      </c>
      <c r="L35" s="7">
        <v>192</v>
      </c>
      <c r="M35" s="7">
        <v>31</v>
      </c>
      <c r="N35" s="2">
        <v>154411</v>
      </c>
      <c r="O35" s="6">
        <f>Table1[[#This Row],[Clicks]]/Table1[[#This Row],[Impressions]]</f>
        <v>3.8780104970041452E-3</v>
      </c>
      <c r="P35" s="6">
        <f>Table1[[#This Row],[Leads]]/Table1[[#This Row],[Clicks]]</f>
        <v>1.9997916883657953E-2</v>
      </c>
      <c r="Q35" s="6" t="str">
        <f>IF(Table1[[#This Row],[Conversion1]]&gt;=2%,"High","Low")</f>
        <v>Low</v>
      </c>
      <c r="R35" s="6">
        <f>IFERROR(Table1[[#This Row],[Orders]]/Table1[[#This Row],[Leads]],0)</f>
        <v>0.16145833333333334</v>
      </c>
      <c r="S35" s="6" t="str">
        <f>IF(Table1[[#This Row],[Conversion2]]&gt;=15%,"High","Low")</f>
        <v>High</v>
      </c>
      <c r="T35" s="4">
        <f>IFERROR(Table1[[#This Row],[Revenue]]/Table1[[#This Row],[Orders]],0)</f>
        <v>4981</v>
      </c>
      <c r="U35" s="4">
        <f>Table1[[#This Row],[Market_Budget]]/Table1[[#This Row],[Clicks]]</f>
        <v>18.114154775544215</v>
      </c>
      <c r="V35" s="4">
        <f>IFERROR(Table1[[#This Row],[Market_Budget]]/Table1[[#This Row],[Leads]],0)</f>
        <v>905.80208333333337</v>
      </c>
      <c r="W35" s="4">
        <f>IFERROR(Table1[[#This Row],[Market_Budget]]/Table1[[#This Row],[Orders]],0)</f>
        <v>5610.1290322580644</v>
      </c>
      <c r="X35" s="15">
        <f>(Table1[[#This Row],[Revenue]]-Table1[[#This Row],[Market_Budget]])/Table1[[#This Row],[Market_Budget]]</f>
        <v>-0.11214163322101728</v>
      </c>
      <c r="Y35" s="5">
        <f>Table1[[#This Row],[Revenue]]-Table1[[#This Row],[Market_Budget]]</f>
        <v>-19503</v>
      </c>
    </row>
    <row r="36" spans="1:25" x14ac:dyDescent="0.35">
      <c r="A36">
        <v>348934</v>
      </c>
      <c r="B36" s="1">
        <v>44231</v>
      </c>
      <c r="C36" s="1" t="str">
        <f>TEXT(Table1[[#This Row],[Date]],"dddd")</f>
        <v>Thursday</v>
      </c>
      <c r="D36" s="1" t="str">
        <f>IF(WEEKDAY(Table1[[#This Row],[Date]],2)&gt;5,"Weekend","Weekday")</f>
        <v>Weekday</v>
      </c>
      <c r="E36" t="s">
        <v>37</v>
      </c>
      <c r="F36" t="str">
        <f>_xlfn.TEXTAFTER(Table1[[#This Row],[Campaign_Name]],"_")</f>
        <v>Tier2</v>
      </c>
      <c r="G36" t="str">
        <f>IF(ISNUMBER(SEARCH("Tier1",Table1[[#This Row],[Campaign_Name]])),"Tier1",IF(ISNUMBER(SEARCH("Tier2",Table1[[#This Row],[Campaign_Name]])),"Tier2","Not Applicable"))</f>
        <v>Tier2</v>
      </c>
      <c r="H36" t="s">
        <v>61</v>
      </c>
      <c r="I36" s="3">
        <v>115389</v>
      </c>
      <c r="J36" s="7">
        <v>4597702</v>
      </c>
      <c r="K36" s="7">
        <v>13206</v>
      </c>
      <c r="L36" s="7">
        <v>143</v>
      </c>
      <c r="M36" s="7">
        <v>17</v>
      </c>
      <c r="N36" s="2">
        <v>82909</v>
      </c>
      <c r="O36" s="6">
        <f>Table1[[#This Row],[Clicks]]/Table1[[#This Row],[Impressions]]</f>
        <v>2.8723044686236733E-3</v>
      </c>
      <c r="P36" s="6">
        <f>Table1[[#This Row],[Leads]]/Table1[[#This Row],[Clicks]]</f>
        <v>1.0828411328184158E-2</v>
      </c>
      <c r="Q36" s="6" t="str">
        <f>IF(Table1[[#This Row],[Conversion1]]&gt;=2%,"High","Low")</f>
        <v>Low</v>
      </c>
      <c r="R36" s="6">
        <f>IFERROR(Table1[[#This Row],[Orders]]/Table1[[#This Row],[Leads]],0)</f>
        <v>0.11888111888111888</v>
      </c>
      <c r="S36" s="6" t="str">
        <f>IF(Table1[[#This Row],[Conversion2]]&gt;=15%,"High","Low")</f>
        <v>Low</v>
      </c>
      <c r="T36" s="4">
        <f>IFERROR(Table1[[#This Row],[Revenue]]/Table1[[#This Row],[Orders]],0)</f>
        <v>4877</v>
      </c>
      <c r="U36" s="4">
        <f>Table1[[#This Row],[Market_Budget]]/Table1[[#This Row],[Clicks]]</f>
        <v>8.737619263970922</v>
      </c>
      <c r="V36" s="4">
        <f>IFERROR(Table1[[#This Row],[Market_Budget]]/Table1[[#This Row],[Leads]],0)</f>
        <v>806.91608391608395</v>
      </c>
      <c r="W36" s="4">
        <f>IFERROR(Table1[[#This Row],[Market_Budget]]/Table1[[#This Row],[Orders]],0)</f>
        <v>6787.588235294118</v>
      </c>
      <c r="X36" s="15">
        <f>(Table1[[#This Row],[Revenue]]-Table1[[#This Row],[Market_Budget]])/Table1[[#This Row],[Market_Budget]]</f>
        <v>-0.28148263699312759</v>
      </c>
      <c r="Y36" s="5">
        <f>Table1[[#This Row],[Revenue]]-Table1[[#This Row],[Market_Budget]]</f>
        <v>-32480</v>
      </c>
    </row>
    <row r="37" spans="1:25" x14ac:dyDescent="0.35">
      <c r="A37">
        <v>89459845</v>
      </c>
      <c r="B37" s="1">
        <v>44231</v>
      </c>
      <c r="C37" s="1" t="str">
        <f>TEXT(Table1[[#This Row],[Date]],"dddd")</f>
        <v>Thursday</v>
      </c>
      <c r="D37" s="1" t="str">
        <f>IF(WEEKDAY(Table1[[#This Row],[Date]],2)&gt;5,"Weekend","Weekday")</f>
        <v>Weekday</v>
      </c>
      <c r="E37" t="s">
        <v>38</v>
      </c>
      <c r="F37" t="str">
        <f>_xlfn.TEXTAFTER(Table1[[#This Row],[Campaign_Name]],"_")</f>
        <v>Hot</v>
      </c>
      <c r="G37" t="str">
        <f>IF(ISNUMBER(SEARCH("Tier1",Table1[[#This Row],[Campaign_Name]])),"Tier1",IF(ISNUMBER(SEARCH("Tier2",Table1[[#This Row],[Campaign_Name]])),"Tier2","Not Applicable"))</f>
        <v>Not Applicable</v>
      </c>
      <c r="H37" t="s">
        <v>47</v>
      </c>
      <c r="I37" s="3">
        <v>41269.599999999999</v>
      </c>
      <c r="J37" s="7">
        <v>196484</v>
      </c>
      <c r="K37" s="7">
        <v>3599</v>
      </c>
      <c r="L37" s="7">
        <v>55</v>
      </c>
      <c r="M37" s="7">
        <v>9</v>
      </c>
      <c r="N37" s="2">
        <v>68589</v>
      </c>
      <c r="O37" s="6">
        <f>Table1[[#This Row],[Clicks]]/Table1[[#This Row],[Impressions]]</f>
        <v>1.8317013090124387E-2</v>
      </c>
      <c r="P37" s="6">
        <f>Table1[[#This Row],[Leads]]/Table1[[#This Row],[Clicks]]</f>
        <v>1.5282022784106696E-2</v>
      </c>
      <c r="Q37" s="6" t="str">
        <f>IF(Table1[[#This Row],[Conversion1]]&gt;=2%,"High","Low")</f>
        <v>Low</v>
      </c>
      <c r="R37" s="6">
        <f>IFERROR(Table1[[#This Row],[Orders]]/Table1[[#This Row],[Leads]],0)</f>
        <v>0.16363636363636364</v>
      </c>
      <c r="S37" s="6" t="str">
        <f>IF(Table1[[#This Row],[Conversion2]]&gt;=15%,"High","Low")</f>
        <v>High</v>
      </c>
      <c r="T37" s="4">
        <f>IFERROR(Table1[[#This Row],[Revenue]]/Table1[[#This Row],[Orders]],0)</f>
        <v>7621</v>
      </c>
      <c r="U37" s="4">
        <f>Table1[[#This Row],[Market_Budget]]/Table1[[#This Row],[Clicks]]</f>
        <v>11.466963045290358</v>
      </c>
      <c r="V37" s="4">
        <f>IFERROR(Table1[[#This Row],[Market_Budget]]/Table1[[#This Row],[Leads]],0)</f>
        <v>750.35636363636365</v>
      </c>
      <c r="W37" s="4">
        <f>IFERROR(Table1[[#This Row],[Market_Budget]]/Table1[[#This Row],[Orders]],0)</f>
        <v>4585.5111111111109</v>
      </c>
      <c r="X37" s="15">
        <f>(Table1[[#This Row],[Revenue]]-Table1[[#This Row],[Market_Budget]])/Table1[[#This Row],[Market_Budget]]</f>
        <v>0.66197394692461287</v>
      </c>
      <c r="Y37" s="5">
        <f>Table1[[#This Row],[Revenue]]-Table1[[#This Row],[Market_Budget]]</f>
        <v>27319.4</v>
      </c>
    </row>
    <row r="38" spans="1:25" x14ac:dyDescent="0.35">
      <c r="A38">
        <v>127823</v>
      </c>
      <c r="B38" s="1">
        <v>44231</v>
      </c>
      <c r="C38" s="1" t="str">
        <f>TEXT(Table1[[#This Row],[Date]],"dddd")</f>
        <v>Thursday</v>
      </c>
      <c r="D38" s="1" t="str">
        <f>IF(WEEKDAY(Table1[[#This Row],[Date]],2)&gt;5,"Weekend","Weekday")</f>
        <v>Weekday</v>
      </c>
      <c r="E38" t="s">
        <v>39</v>
      </c>
      <c r="F38" t="str">
        <f>_xlfn.TEXTAFTER(Table1[[#This Row],[Campaign_Name]],"_")</f>
        <v>Wide</v>
      </c>
      <c r="G38" t="str">
        <f>IF(ISNUMBER(SEARCH("Tier1",Table1[[#This Row],[Campaign_Name]])),"Tier1",IF(ISNUMBER(SEARCH("Tier2",Table1[[#This Row],[Campaign_Name]])),"Tier2","Not Applicable"))</f>
        <v>Not Applicable</v>
      </c>
      <c r="H38" t="s">
        <v>47</v>
      </c>
      <c r="I38" s="3">
        <v>60108.800000000003</v>
      </c>
      <c r="J38" s="7">
        <v>1531679</v>
      </c>
      <c r="K38" s="7">
        <v>9591</v>
      </c>
      <c r="L38" s="7">
        <v>234</v>
      </c>
      <c r="M38" s="7">
        <v>17</v>
      </c>
      <c r="N38" s="2">
        <v>58990</v>
      </c>
      <c r="O38" s="6">
        <f>Table1[[#This Row],[Clicks]]/Table1[[#This Row],[Impressions]]</f>
        <v>6.2617558901049107E-3</v>
      </c>
      <c r="P38" s="6">
        <f>Table1[[#This Row],[Leads]]/Table1[[#This Row],[Clicks]]</f>
        <v>2.4397873005943073E-2</v>
      </c>
      <c r="Q38" s="6" t="str">
        <f>IF(Table1[[#This Row],[Conversion1]]&gt;=2%,"High","Low")</f>
        <v>High</v>
      </c>
      <c r="R38" s="6">
        <f>IFERROR(Table1[[#This Row],[Orders]]/Table1[[#This Row],[Leads]],0)</f>
        <v>7.2649572649572655E-2</v>
      </c>
      <c r="S38" s="6" t="str">
        <f>IF(Table1[[#This Row],[Conversion2]]&gt;=15%,"High","Low")</f>
        <v>Low</v>
      </c>
      <c r="T38" s="4">
        <f>IFERROR(Table1[[#This Row],[Revenue]]/Table1[[#This Row],[Orders]],0)</f>
        <v>3470</v>
      </c>
      <c r="U38" s="4">
        <f>Table1[[#This Row],[Market_Budget]]/Table1[[#This Row],[Clicks]]</f>
        <v>6.267208841622355</v>
      </c>
      <c r="V38" s="4">
        <f>IFERROR(Table1[[#This Row],[Market_Budget]]/Table1[[#This Row],[Leads]],0)</f>
        <v>256.87521367521367</v>
      </c>
      <c r="W38" s="4">
        <f>IFERROR(Table1[[#This Row],[Market_Budget]]/Table1[[#This Row],[Orders]],0)</f>
        <v>3535.8117647058825</v>
      </c>
      <c r="X38" s="15">
        <f>(Table1[[#This Row],[Revenue]]-Table1[[#This Row],[Market_Budget]])/Table1[[#This Row],[Market_Budget]]</f>
        <v>-1.8612915247018788E-2</v>
      </c>
      <c r="Y38" s="5">
        <f>Table1[[#This Row],[Revenue]]-Table1[[#This Row],[Market_Budget]]</f>
        <v>-1118.8000000000029</v>
      </c>
    </row>
    <row r="39" spans="1:25" x14ac:dyDescent="0.35">
      <c r="A39">
        <v>10934</v>
      </c>
      <c r="B39" s="1">
        <v>44231</v>
      </c>
      <c r="C39" s="1" t="str">
        <f>TEXT(Table1[[#This Row],[Date]],"dddd")</f>
        <v>Thursday</v>
      </c>
      <c r="D39" s="1" t="str">
        <f>IF(WEEKDAY(Table1[[#This Row],[Date]],2)&gt;5,"Weekend","Weekday")</f>
        <v>Weekday</v>
      </c>
      <c r="E39" t="s">
        <v>40</v>
      </c>
      <c r="F39" t="str">
        <f>_xlfn.TEXTAFTER(Table1[[#This Row],[Campaign_Name]],"_")</f>
        <v>Blogger</v>
      </c>
      <c r="G39" t="str">
        <f>IF(ISNUMBER(SEARCH("Tier1",Table1[[#This Row],[Campaign_Name]])),"Tier1",IF(ISNUMBER(SEARCH("Tier2",Table1[[#This Row],[Campaign_Name]])),"Tier2","Not Applicable"))</f>
        <v>Not Applicable</v>
      </c>
      <c r="H39" t="s">
        <v>48</v>
      </c>
      <c r="I39" s="3">
        <v>185263</v>
      </c>
      <c r="J39" s="7">
        <v>2120555</v>
      </c>
      <c r="K39" s="7">
        <v>17993</v>
      </c>
      <c r="L39" s="7">
        <v>445</v>
      </c>
      <c r="M39" s="7">
        <v>89</v>
      </c>
      <c r="N39" s="2">
        <v>624958</v>
      </c>
      <c r="O39" s="6">
        <f>Table1[[#This Row],[Clicks]]/Table1[[#This Row],[Impressions]]</f>
        <v>8.4850428307683603E-3</v>
      </c>
      <c r="P39" s="6">
        <f>Table1[[#This Row],[Leads]]/Table1[[#This Row],[Clicks]]</f>
        <v>2.4731840160062246E-2</v>
      </c>
      <c r="Q39" s="6" t="str">
        <f>IF(Table1[[#This Row],[Conversion1]]&gt;=2%,"High","Low")</f>
        <v>High</v>
      </c>
      <c r="R39" s="6">
        <f>IFERROR(Table1[[#This Row],[Orders]]/Table1[[#This Row],[Leads]],0)</f>
        <v>0.2</v>
      </c>
      <c r="S39" s="6" t="str">
        <f>IF(Table1[[#This Row],[Conversion2]]&gt;=15%,"High","Low")</f>
        <v>High</v>
      </c>
      <c r="T39" s="4">
        <f>IFERROR(Table1[[#This Row],[Revenue]]/Table1[[#This Row],[Orders]],0)</f>
        <v>7022</v>
      </c>
      <c r="U39" s="4">
        <f>Table1[[#This Row],[Market_Budget]]/Table1[[#This Row],[Clicks]]</f>
        <v>10.296393041738455</v>
      </c>
      <c r="V39" s="4">
        <f>IFERROR(Table1[[#This Row],[Market_Budget]]/Table1[[#This Row],[Leads]],0)</f>
        <v>416.32134831460672</v>
      </c>
      <c r="W39" s="4">
        <f>IFERROR(Table1[[#This Row],[Market_Budget]]/Table1[[#This Row],[Orders]],0)</f>
        <v>2081.6067415730336</v>
      </c>
      <c r="X39" s="15">
        <f>(Table1[[#This Row],[Revenue]]-Table1[[#This Row],[Market_Budget]])/Table1[[#This Row],[Market_Budget]]</f>
        <v>2.3733557159281671</v>
      </c>
      <c r="Y39" s="5">
        <f>Table1[[#This Row],[Revenue]]-Table1[[#This Row],[Market_Budget]]</f>
        <v>439695</v>
      </c>
    </row>
    <row r="40" spans="1:25" x14ac:dyDescent="0.35">
      <c r="A40">
        <v>9034945</v>
      </c>
      <c r="B40" s="1">
        <v>44231</v>
      </c>
      <c r="C40" s="1" t="str">
        <f>TEXT(Table1[[#This Row],[Date]],"dddd")</f>
        <v>Thursday</v>
      </c>
      <c r="D40" s="1" t="str">
        <f>IF(WEEKDAY(Table1[[#This Row],[Date]],2)&gt;5,"Weekend","Weekday")</f>
        <v>Weekday</v>
      </c>
      <c r="E40" t="s">
        <v>41</v>
      </c>
      <c r="F40" t="str">
        <f>_xlfn.TEXTAFTER(Table1[[#This Row],[Campaign_Name]],"_")</f>
        <v>Tier1</v>
      </c>
      <c r="G40" t="str">
        <f>IF(ISNUMBER(SEARCH("Tier1",Table1[[#This Row],[Campaign_Name]])),"Tier1",IF(ISNUMBER(SEARCH("Tier2",Table1[[#This Row],[Campaign_Name]])),"Tier2","Not Applicable"))</f>
        <v>Tier1</v>
      </c>
      <c r="H40" t="s">
        <v>61</v>
      </c>
      <c r="I40" s="3">
        <v>104028</v>
      </c>
      <c r="J40" s="7">
        <v>1322751</v>
      </c>
      <c r="K40" s="7">
        <v>10794</v>
      </c>
      <c r="L40" s="7">
        <v>238</v>
      </c>
      <c r="M40" s="7">
        <v>27</v>
      </c>
      <c r="N40" s="2">
        <v>179037</v>
      </c>
      <c r="O40" s="6">
        <f>Table1[[#This Row],[Clicks]]/Table1[[#This Row],[Impressions]]</f>
        <v>8.1602659911049012E-3</v>
      </c>
      <c r="P40" s="6">
        <f>Table1[[#This Row],[Leads]]/Table1[[#This Row],[Clicks]]</f>
        <v>2.2049286640726331E-2</v>
      </c>
      <c r="Q40" s="6" t="str">
        <f>IF(Table1[[#This Row],[Conversion1]]&gt;=2%,"High","Low")</f>
        <v>High</v>
      </c>
      <c r="R40" s="6">
        <f>IFERROR(Table1[[#This Row],[Orders]]/Table1[[#This Row],[Leads]],0)</f>
        <v>0.1134453781512605</v>
      </c>
      <c r="S40" s="6" t="str">
        <f>IF(Table1[[#This Row],[Conversion2]]&gt;=15%,"High","Low")</f>
        <v>Low</v>
      </c>
      <c r="T40" s="4">
        <f>IFERROR(Table1[[#This Row],[Revenue]]/Table1[[#This Row],[Orders]],0)</f>
        <v>6631</v>
      </c>
      <c r="U40" s="4">
        <f>Table1[[#This Row],[Market_Budget]]/Table1[[#This Row],[Clicks]]</f>
        <v>9.6375764313507499</v>
      </c>
      <c r="V40" s="4">
        <f>IFERROR(Table1[[#This Row],[Market_Budget]]/Table1[[#This Row],[Leads]],0)</f>
        <v>437.0924369747899</v>
      </c>
      <c r="W40" s="4">
        <f>IFERROR(Table1[[#This Row],[Market_Budget]]/Table1[[#This Row],[Orders]],0)</f>
        <v>3852.8888888888887</v>
      </c>
      <c r="X40" s="15">
        <f>(Table1[[#This Row],[Revenue]]-Table1[[#This Row],[Market_Budget]])/Table1[[#This Row],[Market_Budget]]</f>
        <v>0.72104625677702161</v>
      </c>
      <c r="Y40" s="5">
        <f>Table1[[#This Row],[Revenue]]-Table1[[#This Row],[Market_Budget]]</f>
        <v>75009</v>
      </c>
    </row>
    <row r="41" spans="1:25" x14ac:dyDescent="0.35">
      <c r="A41">
        <v>983498</v>
      </c>
      <c r="B41" s="1">
        <v>44231</v>
      </c>
      <c r="C41" s="1" t="str">
        <f>TEXT(Table1[[#This Row],[Date]],"dddd")</f>
        <v>Thursday</v>
      </c>
      <c r="D41" s="1" t="str">
        <f>IF(WEEKDAY(Table1[[#This Row],[Date]],2)&gt;5,"Weekend","Weekday")</f>
        <v>Weekday</v>
      </c>
      <c r="E41" t="s">
        <v>42</v>
      </c>
      <c r="F41" t="str">
        <f>_xlfn.TEXTAFTER(Table1[[#This Row],[Campaign_Name]],"_")</f>
        <v>Tier2</v>
      </c>
      <c r="G41" t="str">
        <f>IF(ISNUMBER(SEARCH("Tier1",Table1[[#This Row],[Campaign_Name]])),"Tier1",IF(ISNUMBER(SEARCH("Tier2",Table1[[#This Row],[Campaign_Name]])),"Tier2","Not Applicable"))</f>
        <v>Tier2</v>
      </c>
      <c r="H41" t="s">
        <v>61</v>
      </c>
      <c r="I41" s="3">
        <v>40119.199999999997</v>
      </c>
      <c r="J41" s="7">
        <v>3008227</v>
      </c>
      <c r="K41" s="7">
        <v>20392</v>
      </c>
      <c r="L41" s="7">
        <v>408</v>
      </c>
      <c r="M41" s="7">
        <v>12</v>
      </c>
      <c r="N41" s="2">
        <v>23772</v>
      </c>
      <c r="O41" s="6">
        <f>Table1[[#This Row],[Clicks]]/Table1[[#This Row],[Impressions]]</f>
        <v>6.7787437583666389E-3</v>
      </c>
      <c r="P41" s="6">
        <f>Table1[[#This Row],[Leads]]/Table1[[#This Row],[Clicks]]</f>
        <v>2.0007846214201649E-2</v>
      </c>
      <c r="Q41" s="6" t="str">
        <f>IF(Table1[[#This Row],[Conversion1]]&gt;=2%,"High","Low")</f>
        <v>High</v>
      </c>
      <c r="R41" s="6">
        <f>IFERROR(Table1[[#This Row],[Orders]]/Table1[[#This Row],[Leads]],0)</f>
        <v>2.9411764705882353E-2</v>
      </c>
      <c r="S41" s="6" t="str">
        <f>IF(Table1[[#This Row],[Conversion2]]&gt;=15%,"High","Low")</f>
        <v>Low</v>
      </c>
      <c r="T41" s="4">
        <f>IFERROR(Table1[[#This Row],[Revenue]]/Table1[[#This Row],[Orders]],0)</f>
        <v>1981</v>
      </c>
      <c r="U41" s="4">
        <f>Table1[[#This Row],[Market_Budget]]/Table1[[#This Row],[Clicks]]</f>
        <v>1.9673989799921536</v>
      </c>
      <c r="V41" s="4">
        <f>IFERROR(Table1[[#This Row],[Market_Budget]]/Table1[[#This Row],[Leads]],0)</f>
        <v>98.331372549019605</v>
      </c>
      <c r="W41" s="4">
        <f>IFERROR(Table1[[#This Row],[Market_Budget]]/Table1[[#This Row],[Orders]],0)</f>
        <v>3343.2666666666664</v>
      </c>
      <c r="X41" s="15">
        <f>(Table1[[#This Row],[Revenue]]-Table1[[#This Row],[Market_Budget]])/Table1[[#This Row],[Market_Budget]]</f>
        <v>-0.40746575205886454</v>
      </c>
      <c r="Y41" s="5">
        <f>Table1[[#This Row],[Revenue]]-Table1[[#This Row],[Market_Budget]]</f>
        <v>-16347.199999999997</v>
      </c>
    </row>
    <row r="42" spans="1:25" x14ac:dyDescent="0.35">
      <c r="A42">
        <v>4387490</v>
      </c>
      <c r="B42" s="1">
        <v>44231</v>
      </c>
      <c r="C42" s="1" t="str">
        <f>TEXT(Table1[[#This Row],[Date]],"dddd")</f>
        <v>Thursday</v>
      </c>
      <c r="D42" s="1" t="str">
        <f>IF(WEEKDAY(Table1[[#This Row],[Date]],2)&gt;5,"Weekend","Weekday")</f>
        <v>Weekday</v>
      </c>
      <c r="E42" t="s">
        <v>43</v>
      </c>
      <c r="F42" t="str">
        <f>_xlfn.TEXTAFTER(Table1[[#This Row],[Campaign_Name]],"_")</f>
        <v>Retargeting</v>
      </c>
      <c r="G42" t="str">
        <f>IF(ISNUMBER(SEARCH("Tier1",Table1[[#This Row],[Campaign_Name]])),"Tier1",IF(ISNUMBER(SEARCH("Tier2",Table1[[#This Row],[Campaign_Name]])),"Tier2","Not Applicable"))</f>
        <v>Not Applicable</v>
      </c>
      <c r="H42" t="s">
        <v>61</v>
      </c>
      <c r="I42" s="3">
        <v>885.75</v>
      </c>
      <c r="J42" s="7">
        <v>43160</v>
      </c>
      <c r="K42" s="7">
        <v>1194</v>
      </c>
      <c r="L42" s="7">
        <v>4</v>
      </c>
      <c r="M42" s="7">
        <v>1</v>
      </c>
      <c r="N42" s="2">
        <v>5287</v>
      </c>
      <c r="O42" s="6">
        <f>Table1[[#This Row],[Clicks]]/Table1[[#This Row],[Impressions]]</f>
        <v>2.7664504170528268E-2</v>
      </c>
      <c r="P42" s="6">
        <f>Table1[[#This Row],[Leads]]/Table1[[#This Row],[Clicks]]</f>
        <v>3.3500837520938024E-3</v>
      </c>
      <c r="Q42" s="6" t="str">
        <f>IF(Table1[[#This Row],[Conversion1]]&gt;=2%,"High","Low")</f>
        <v>Low</v>
      </c>
      <c r="R42" s="6">
        <f>IFERROR(Table1[[#This Row],[Orders]]/Table1[[#This Row],[Leads]],0)</f>
        <v>0.25</v>
      </c>
      <c r="S42" s="6" t="str">
        <f>IF(Table1[[#This Row],[Conversion2]]&gt;=15%,"High","Low")</f>
        <v>High</v>
      </c>
      <c r="T42" s="4">
        <f>IFERROR(Table1[[#This Row],[Revenue]]/Table1[[#This Row],[Orders]],0)</f>
        <v>5287</v>
      </c>
      <c r="U42" s="4">
        <f>Table1[[#This Row],[Market_Budget]]/Table1[[#This Row],[Clicks]]</f>
        <v>0.74183417085427139</v>
      </c>
      <c r="V42" s="4">
        <f>IFERROR(Table1[[#This Row],[Market_Budget]]/Table1[[#This Row],[Leads]],0)</f>
        <v>221.4375</v>
      </c>
      <c r="W42" s="4">
        <f>IFERROR(Table1[[#This Row],[Market_Budget]]/Table1[[#This Row],[Orders]],0)</f>
        <v>885.75</v>
      </c>
      <c r="X42" s="15">
        <f>(Table1[[#This Row],[Revenue]]-Table1[[#This Row],[Market_Budget]])/Table1[[#This Row],[Market_Budget]]</f>
        <v>4.9689528648038381</v>
      </c>
      <c r="Y42" s="5">
        <f>Table1[[#This Row],[Revenue]]-Table1[[#This Row],[Market_Budget]]</f>
        <v>4401.25</v>
      </c>
    </row>
    <row r="43" spans="1:25" x14ac:dyDescent="0.35">
      <c r="A43">
        <v>544756</v>
      </c>
      <c r="B43" s="1">
        <v>44231</v>
      </c>
      <c r="C43" s="1" t="str">
        <f>TEXT(Table1[[#This Row],[Date]],"dddd")</f>
        <v>Thursday</v>
      </c>
      <c r="D43" s="1" t="str">
        <f>IF(WEEKDAY(Table1[[#This Row],[Date]],2)&gt;5,"Weekend","Weekday")</f>
        <v>Weekday</v>
      </c>
      <c r="E43" t="s">
        <v>44</v>
      </c>
      <c r="F43" t="str">
        <f>_xlfn.TEXTAFTER(Table1[[#This Row],[Campaign_Name]],"_")</f>
        <v>Lal</v>
      </c>
      <c r="G43" t="str">
        <f>IF(ISNUMBER(SEARCH("Tier1",Table1[[#This Row],[Campaign_Name]])),"Tier1",IF(ISNUMBER(SEARCH("Tier2",Table1[[#This Row],[Campaign_Name]])),"Tier2","Not Applicable"))</f>
        <v>Not Applicable</v>
      </c>
      <c r="H43" t="s">
        <v>61</v>
      </c>
      <c r="I43" s="3">
        <v>120335</v>
      </c>
      <c r="J43" s="7">
        <v>432611</v>
      </c>
      <c r="K43" s="7">
        <v>4807</v>
      </c>
      <c r="L43" s="7">
        <v>71</v>
      </c>
      <c r="M43" s="7">
        <v>13</v>
      </c>
      <c r="N43" s="2">
        <v>6864</v>
      </c>
      <c r="O43" s="6">
        <f>Table1[[#This Row],[Clicks]]/Table1[[#This Row],[Impressions]]</f>
        <v>1.1111599104044974E-2</v>
      </c>
      <c r="P43" s="6">
        <f>Table1[[#This Row],[Leads]]/Table1[[#This Row],[Clicks]]</f>
        <v>1.4770126898273351E-2</v>
      </c>
      <c r="Q43" s="6" t="str">
        <f>IF(Table1[[#This Row],[Conversion1]]&gt;=2%,"High","Low")</f>
        <v>Low</v>
      </c>
      <c r="R43" s="6">
        <f>IFERROR(Table1[[#This Row],[Orders]]/Table1[[#This Row],[Leads]],0)</f>
        <v>0.18309859154929578</v>
      </c>
      <c r="S43" s="6" t="str">
        <f>IF(Table1[[#This Row],[Conversion2]]&gt;=15%,"High","Low")</f>
        <v>High</v>
      </c>
      <c r="T43" s="4">
        <f>IFERROR(Table1[[#This Row],[Revenue]]/Table1[[#This Row],[Orders]],0)</f>
        <v>528</v>
      </c>
      <c r="U43" s="4">
        <f>Table1[[#This Row],[Market_Budget]]/Table1[[#This Row],[Clicks]]</f>
        <v>25.033284793010193</v>
      </c>
      <c r="V43" s="4">
        <f>IFERROR(Table1[[#This Row],[Market_Budget]]/Table1[[#This Row],[Leads]],0)</f>
        <v>1694.8591549295775</v>
      </c>
      <c r="W43" s="4">
        <f>IFERROR(Table1[[#This Row],[Market_Budget]]/Table1[[#This Row],[Orders]],0)</f>
        <v>9256.538461538461</v>
      </c>
      <c r="X43" s="15">
        <f>(Table1[[#This Row],[Revenue]]-Table1[[#This Row],[Market_Budget]])/Table1[[#This Row],[Market_Budget]]</f>
        <v>-0.94295923879170651</v>
      </c>
      <c r="Y43" s="5">
        <f>Table1[[#This Row],[Revenue]]-Table1[[#This Row],[Market_Budget]]</f>
        <v>-113471</v>
      </c>
    </row>
    <row r="44" spans="1:25" x14ac:dyDescent="0.35">
      <c r="A44">
        <v>374754</v>
      </c>
      <c r="B44" s="1">
        <v>44231</v>
      </c>
      <c r="C44" s="1" t="str">
        <f>TEXT(Table1[[#This Row],[Date]],"dddd")</f>
        <v>Thursday</v>
      </c>
      <c r="D44" s="1" t="str">
        <f>IF(WEEKDAY(Table1[[#This Row],[Date]],2)&gt;5,"Weekend","Weekday")</f>
        <v>Weekday</v>
      </c>
      <c r="E44" t="s">
        <v>45</v>
      </c>
      <c r="F44" t="str">
        <f>_xlfn.TEXTAFTER(Table1[[#This Row],[Campaign_Name]],"_")</f>
        <v>Blogger</v>
      </c>
      <c r="G44" t="str">
        <f>IF(ISNUMBER(SEARCH("Tier1",Table1[[#This Row],[Campaign_Name]])),"Tier1",IF(ISNUMBER(SEARCH("Tier2",Table1[[#This Row],[Campaign_Name]])),"Tier2","Not Applicable"))</f>
        <v>Not Applicable</v>
      </c>
      <c r="H44" t="s">
        <v>48</v>
      </c>
      <c r="I44" s="3">
        <v>149279</v>
      </c>
      <c r="J44" s="7">
        <v>1199300</v>
      </c>
      <c r="K44" s="7">
        <v>11993</v>
      </c>
      <c r="L44" s="7">
        <v>267</v>
      </c>
      <c r="M44" s="7">
        <v>38</v>
      </c>
      <c r="N44" s="2">
        <v>224542</v>
      </c>
      <c r="O44" s="6">
        <f>Table1[[#This Row],[Clicks]]/Table1[[#This Row],[Impressions]]</f>
        <v>0.01</v>
      </c>
      <c r="P44" s="6">
        <f>Table1[[#This Row],[Leads]]/Table1[[#This Row],[Clicks]]</f>
        <v>2.2262986742266323E-2</v>
      </c>
      <c r="Q44" s="6" t="str">
        <f>IF(Table1[[#This Row],[Conversion1]]&gt;=2%,"High","Low")</f>
        <v>High</v>
      </c>
      <c r="R44" s="6">
        <f>IFERROR(Table1[[#This Row],[Orders]]/Table1[[#This Row],[Leads]],0)</f>
        <v>0.14232209737827714</v>
      </c>
      <c r="S44" s="6" t="str">
        <f>IF(Table1[[#This Row],[Conversion2]]&gt;=15%,"High","Low")</f>
        <v>Low</v>
      </c>
      <c r="T44" s="4">
        <f>IFERROR(Table1[[#This Row],[Revenue]]/Table1[[#This Row],[Orders]],0)</f>
        <v>5909</v>
      </c>
      <c r="U44" s="4">
        <f>Table1[[#This Row],[Market_Budget]]/Table1[[#This Row],[Clicks]]</f>
        <v>12.447177520220128</v>
      </c>
      <c r="V44" s="4">
        <f>IFERROR(Table1[[#This Row],[Market_Budget]]/Table1[[#This Row],[Leads]],0)</f>
        <v>559.09737827715355</v>
      </c>
      <c r="W44" s="4">
        <f>IFERROR(Table1[[#This Row],[Market_Budget]]/Table1[[#This Row],[Orders]],0)</f>
        <v>3928.3947368421054</v>
      </c>
      <c r="X44" s="15">
        <f>(Table1[[#This Row],[Revenue]]-Table1[[#This Row],[Market_Budget]])/Table1[[#This Row],[Market_Budget]]</f>
        <v>0.50417674287743086</v>
      </c>
      <c r="Y44" s="5">
        <f>Table1[[#This Row],[Revenue]]-Table1[[#This Row],[Market_Budget]]</f>
        <v>75263</v>
      </c>
    </row>
    <row r="45" spans="1:25" x14ac:dyDescent="0.35">
      <c r="A45">
        <v>39889</v>
      </c>
      <c r="B45" s="1">
        <v>44231</v>
      </c>
      <c r="C45" s="1" t="str">
        <f>TEXT(Table1[[#This Row],[Date]],"dddd")</f>
        <v>Thursday</v>
      </c>
      <c r="D45" s="1" t="str">
        <f>IF(WEEKDAY(Table1[[#This Row],[Date]],2)&gt;5,"Weekend","Weekday")</f>
        <v>Weekday</v>
      </c>
      <c r="E45" t="s">
        <v>46</v>
      </c>
      <c r="F45" t="str">
        <f>_xlfn.TEXTAFTER(Table1[[#This Row],[Campaign_Name]],"_")</f>
        <v>Partner</v>
      </c>
      <c r="G45" t="str">
        <f>IF(ISNUMBER(SEARCH("Tier1",Table1[[#This Row],[Campaign_Name]])),"Tier1",IF(ISNUMBER(SEARCH("Tier2",Table1[[#This Row],[Campaign_Name]])),"Tier2","Not Applicable"))</f>
        <v>Not Applicable</v>
      </c>
      <c r="H45" t="s">
        <v>62</v>
      </c>
      <c r="I45" s="3">
        <v>177746</v>
      </c>
      <c r="J45" s="7">
        <v>41924802</v>
      </c>
      <c r="K45" s="7">
        <v>16806</v>
      </c>
      <c r="L45" s="7">
        <v>336</v>
      </c>
      <c r="M45" s="7">
        <v>60</v>
      </c>
      <c r="N45" s="2">
        <v>204540</v>
      </c>
      <c r="O45" s="6">
        <f>Table1[[#This Row],[Clicks]]/Table1[[#This Row],[Impressions]]</f>
        <v>4.0086056935939731E-4</v>
      </c>
      <c r="P45" s="6">
        <f>Table1[[#This Row],[Leads]]/Table1[[#This Row],[Clicks]]</f>
        <v>1.9992859692966797E-2</v>
      </c>
      <c r="Q45" s="6" t="str">
        <f>IF(Table1[[#This Row],[Conversion1]]&gt;=2%,"High","Low")</f>
        <v>Low</v>
      </c>
      <c r="R45" s="6">
        <f>IFERROR(Table1[[#This Row],[Orders]]/Table1[[#This Row],[Leads]],0)</f>
        <v>0.17857142857142858</v>
      </c>
      <c r="S45" s="6" t="str">
        <f>IF(Table1[[#This Row],[Conversion2]]&gt;=15%,"High","Low")</f>
        <v>High</v>
      </c>
      <c r="T45" s="4">
        <f>IFERROR(Table1[[#This Row],[Revenue]]/Table1[[#This Row],[Orders]],0)</f>
        <v>3409</v>
      </c>
      <c r="U45" s="4">
        <f>Table1[[#This Row],[Market_Budget]]/Table1[[#This Row],[Clicks]]</f>
        <v>10.576341782696655</v>
      </c>
      <c r="V45" s="4">
        <f>IFERROR(Table1[[#This Row],[Market_Budget]]/Table1[[#This Row],[Leads]],0)</f>
        <v>529.00595238095241</v>
      </c>
      <c r="W45" s="4">
        <f>IFERROR(Table1[[#This Row],[Market_Budget]]/Table1[[#This Row],[Orders]],0)</f>
        <v>2962.4333333333334</v>
      </c>
      <c r="X45" s="15">
        <f>(Table1[[#This Row],[Revenue]]-Table1[[#This Row],[Market_Budget]])/Table1[[#This Row],[Market_Budget]]</f>
        <v>0.15074319534616812</v>
      </c>
      <c r="Y45" s="5">
        <f>Table1[[#This Row],[Revenue]]-Table1[[#This Row],[Market_Budget]]</f>
        <v>26794</v>
      </c>
    </row>
    <row r="46" spans="1:25" x14ac:dyDescent="0.35">
      <c r="A46">
        <v>349043</v>
      </c>
      <c r="B46" s="1">
        <v>44232</v>
      </c>
      <c r="C46" s="1" t="str">
        <f>TEXT(Table1[[#This Row],[Date]],"dddd")</f>
        <v>Friday</v>
      </c>
      <c r="D46" s="1" t="str">
        <f>IF(WEEKDAY(Table1[[#This Row],[Date]],2)&gt;5,"Weekend","Weekday")</f>
        <v>Weekday</v>
      </c>
      <c r="E46" t="s">
        <v>36</v>
      </c>
      <c r="F46" t="str">
        <f>_xlfn.TEXTAFTER(Table1[[#This Row],[Campaign_Name]],"_")</f>
        <v>Tier1</v>
      </c>
      <c r="G46" t="str">
        <f>IF(ISNUMBER(SEARCH("Tier1",Table1[[#This Row],[Campaign_Name]])),"Tier1",IF(ISNUMBER(SEARCH("Tier2",Table1[[#This Row],[Campaign_Name]])),"Tier2","Not Applicable"))</f>
        <v>Tier1</v>
      </c>
      <c r="H46" t="s">
        <v>61</v>
      </c>
      <c r="I46" s="3">
        <v>90691.7</v>
      </c>
      <c r="J46" s="7">
        <v>3462883</v>
      </c>
      <c r="K46" s="7">
        <v>11997</v>
      </c>
      <c r="L46" s="7">
        <v>143</v>
      </c>
      <c r="M46" s="7">
        <v>17</v>
      </c>
      <c r="N46" s="2">
        <v>84677</v>
      </c>
      <c r="O46" s="6">
        <f>Table1[[#This Row],[Clicks]]/Table1[[#This Row],[Impressions]]</f>
        <v>3.4644543289507617E-3</v>
      </c>
      <c r="P46" s="6">
        <f>Table1[[#This Row],[Leads]]/Table1[[#This Row],[Clicks]]</f>
        <v>1.1919646578311245E-2</v>
      </c>
      <c r="Q46" s="6" t="str">
        <f>IF(Table1[[#This Row],[Conversion1]]&gt;=2%,"High","Low")</f>
        <v>Low</v>
      </c>
      <c r="R46" s="6">
        <f>IFERROR(Table1[[#This Row],[Orders]]/Table1[[#This Row],[Leads]],0)</f>
        <v>0.11888111888111888</v>
      </c>
      <c r="S46" s="6" t="str">
        <f>IF(Table1[[#This Row],[Conversion2]]&gt;=15%,"High","Low")</f>
        <v>Low</v>
      </c>
      <c r="T46" s="4">
        <f>IFERROR(Table1[[#This Row],[Revenue]]/Table1[[#This Row],[Orders]],0)</f>
        <v>4981</v>
      </c>
      <c r="U46" s="4">
        <f>Table1[[#This Row],[Market_Budget]]/Table1[[#This Row],[Clicks]]</f>
        <v>7.5595315495540554</v>
      </c>
      <c r="V46" s="4">
        <f>IFERROR(Table1[[#This Row],[Market_Budget]]/Table1[[#This Row],[Leads]],0)</f>
        <v>634.20769230769224</v>
      </c>
      <c r="W46" s="4">
        <f>IFERROR(Table1[[#This Row],[Market_Budget]]/Table1[[#This Row],[Orders]],0)</f>
        <v>5334.8058823529409</v>
      </c>
      <c r="X46" s="15">
        <f>(Table1[[#This Row],[Revenue]]-Table1[[#This Row],[Market_Budget]])/Table1[[#This Row],[Market_Budget]]</f>
        <v>-6.6320291713574647E-2</v>
      </c>
      <c r="Y46" s="5">
        <f>Table1[[#This Row],[Revenue]]-Table1[[#This Row],[Market_Budget]]</f>
        <v>-6014.6999999999971</v>
      </c>
    </row>
    <row r="47" spans="1:25" x14ac:dyDescent="0.35">
      <c r="A47">
        <v>348934</v>
      </c>
      <c r="B47" s="1">
        <v>44232</v>
      </c>
      <c r="C47" s="1" t="str">
        <f>TEXT(Table1[[#This Row],[Date]],"dddd")</f>
        <v>Friday</v>
      </c>
      <c r="D47" s="1" t="str">
        <f>IF(WEEKDAY(Table1[[#This Row],[Date]],2)&gt;5,"Weekend","Weekday")</f>
        <v>Weekday</v>
      </c>
      <c r="E47" t="s">
        <v>37</v>
      </c>
      <c r="F47" t="str">
        <f>_xlfn.TEXTAFTER(Table1[[#This Row],[Campaign_Name]],"_")</f>
        <v>Tier2</v>
      </c>
      <c r="G47" t="str">
        <f>IF(ISNUMBER(SEARCH("Tier1",Table1[[#This Row],[Campaign_Name]])),"Tier1",IF(ISNUMBER(SEARCH("Tier2",Table1[[#This Row],[Campaign_Name]])),"Tier2","Not Applicable"))</f>
        <v>Tier2</v>
      </c>
      <c r="H47" t="s">
        <v>61</v>
      </c>
      <c r="I47" s="3">
        <v>261047</v>
      </c>
      <c r="J47" s="7">
        <v>3299600</v>
      </c>
      <c r="K47" s="7">
        <v>16498</v>
      </c>
      <c r="L47" s="7">
        <v>330</v>
      </c>
      <c r="M47" s="7">
        <v>42</v>
      </c>
      <c r="N47" s="2">
        <v>209202</v>
      </c>
      <c r="O47" s="6">
        <f>Table1[[#This Row],[Clicks]]/Table1[[#This Row],[Impressions]]</f>
        <v>5.0000000000000001E-3</v>
      </c>
      <c r="P47" s="6">
        <f>Table1[[#This Row],[Leads]]/Table1[[#This Row],[Clicks]]</f>
        <v>2.000242453630743E-2</v>
      </c>
      <c r="Q47" s="6" t="str">
        <f>IF(Table1[[#This Row],[Conversion1]]&gt;=2%,"High","Low")</f>
        <v>High</v>
      </c>
      <c r="R47" s="6">
        <f>IFERROR(Table1[[#This Row],[Orders]]/Table1[[#This Row],[Leads]],0)</f>
        <v>0.12727272727272726</v>
      </c>
      <c r="S47" s="6" t="str">
        <f>IF(Table1[[#This Row],[Conversion2]]&gt;=15%,"High","Low")</f>
        <v>Low</v>
      </c>
      <c r="T47" s="4">
        <f>IFERROR(Table1[[#This Row],[Revenue]]/Table1[[#This Row],[Orders]],0)</f>
        <v>4981</v>
      </c>
      <c r="U47" s="4">
        <f>Table1[[#This Row],[Market_Budget]]/Table1[[#This Row],[Clicks]]</f>
        <v>15.822948236149836</v>
      </c>
      <c r="V47" s="4">
        <f>IFERROR(Table1[[#This Row],[Market_Budget]]/Table1[[#This Row],[Leads]],0)</f>
        <v>791.0515151515151</v>
      </c>
      <c r="W47" s="4">
        <f>IFERROR(Table1[[#This Row],[Market_Budget]]/Table1[[#This Row],[Orders]],0)</f>
        <v>6215.4047619047615</v>
      </c>
      <c r="X47" s="15">
        <f>(Table1[[#This Row],[Revenue]]-Table1[[#This Row],[Market_Budget]])/Table1[[#This Row],[Market_Budget]]</f>
        <v>-0.19860408278968922</v>
      </c>
      <c r="Y47" s="5">
        <f>Table1[[#This Row],[Revenue]]-Table1[[#This Row],[Market_Budget]]</f>
        <v>-51845</v>
      </c>
    </row>
    <row r="48" spans="1:25" x14ac:dyDescent="0.35">
      <c r="A48">
        <v>89459845</v>
      </c>
      <c r="B48" s="1">
        <v>44232</v>
      </c>
      <c r="C48" s="1" t="str">
        <f>TEXT(Table1[[#This Row],[Date]],"dddd")</f>
        <v>Friday</v>
      </c>
      <c r="D48" s="1" t="str">
        <f>IF(WEEKDAY(Table1[[#This Row],[Date]],2)&gt;5,"Weekend","Weekday")</f>
        <v>Weekday</v>
      </c>
      <c r="E48" t="s">
        <v>38</v>
      </c>
      <c r="F48" t="str">
        <f>_xlfn.TEXTAFTER(Table1[[#This Row],[Campaign_Name]],"_")</f>
        <v>Hot</v>
      </c>
      <c r="G48" t="str">
        <f>IF(ISNUMBER(SEARCH("Tier1",Table1[[#This Row],[Campaign_Name]])),"Tier1",IF(ISNUMBER(SEARCH("Tier2",Table1[[#This Row],[Campaign_Name]])),"Tier2","Not Applicable"))</f>
        <v>Not Applicable</v>
      </c>
      <c r="H48" t="s">
        <v>47</v>
      </c>
      <c r="I48" s="3">
        <v>96930.6</v>
      </c>
      <c r="J48" s="7">
        <v>236719</v>
      </c>
      <c r="K48" s="7">
        <v>4504</v>
      </c>
      <c r="L48" s="7">
        <v>151</v>
      </c>
      <c r="M48" s="7">
        <v>23</v>
      </c>
      <c r="N48" s="2">
        <v>177882</v>
      </c>
      <c r="O48" s="6">
        <f>Table1[[#This Row],[Clicks]]/Table1[[#This Row],[Impressions]]</f>
        <v>1.902677858558037E-2</v>
      </c>
      <c r="P48" s="6">
        <f>Table1[[#This Row],[Leads]]/Table1[[#This Row],[Clicks]]</f>
        <v>3.3525754884547072E-2</v>
      </c>
      <c r="Q48" s="6" t="str">
        <f>IF(Table1[[#This Row],[Conversion1]]&gt;=2%,"High","Low")</f>
        <v>High</v>
      </c>
      <c r="R48" s="6">
        <f>IFERROR(Table1[[#This Row],[Orders]]/Table1[[#This Row],[Leads]],0)</f>
        <v>0.15231788079470199</v>
      </c>
      <c r="S48" s="6" t="str">
        <f>IF(Table1[[#This Row],[Conversion2]]&gt;=15%,"High","Low")</f>
        <v>High</v>
      </c>
      <c r="T48" s="4">
        <f>IFERROR(Table1[[#This Row],[Revenue]]/Table1[[#This Row],[Orders]],0)</f>
        <v>7734</v>
      </c>
      <c r="U48" s="4">
        <f>Table1[[#This Row],[Market_Budget]]/Table1[[#This Row],[Clicks]]</f>
        <v>21.521003552397868</v>
      </c>
      <c r="V48" s="4">
        <f>IFERROR(Table1[[#This Row],[Market_Budget]]/Table1[[#This Row],[Leads]],0)</f>
        <v>641.92450331125826</v>
      </c>
      <c r="W48" s="4">
        <f>IFERROR(Table1[[#This Row],[Market_Budget]]/Table1[[#This Row],[Orders]],0)</f>
        <v>4214.3739130434788</v>
      </c>
      <c r="X48" s="15">
        <f>(Table1[[#This Row],[Revenue]]-Table1[[#This Row],[Market_Budget]])/Table1[[#This Row],[Market_Budget]]</f>
        <v>0.83514803374785662</v>
      </c>
      <c r="Y48" s="5">
        <f>Table1[[#This Row],[Revenue]]-Table1[[#This Row],[Market_Budget]]</f>
        <v>80951.399999999994</v>
      </c>
    </row>
    <row r="49" spans="1:25" x14ac:dyDescent="0.35">
      <c r="A49">
        <v>127823</v>
      </c>
      <c r="B49" s="1">
        <v>44232</v>
      </c>
      <c r="C49" s="1" t="str">
        <f>TEXT(Table1[[#This Row],[Date]],"dddd")</f>
        <v>Friday</v>
      </c>
      <c r="D49" s="1" t="str">
        <f>IF(WEEKDAY(Table1[[#This Row],[Date]],2)&gt;5,"Weekend","Weekday")</f>
        <v>Weekday</v>
      </c>
      <c r="E49" t="s">
        <v>39</v>
      </c>
      <c r="F49" t="str">
        <f>_xlfn.TEXTAFTER(Table1[[#This Row],[Campaign_Name]],"_")</f>
        <v>Wide</v>
      </c>
      <c r="G49" t="str">
        <f>IF(ISNUMBER(SEARCH("Tier1",Table1[[#This Row],[Campaign_Name]])),"Tier1",IF(ISNUMBER(SEARCH("Tier2",Table1[[#This Row],[Campaign_Name]])),"Tier2","Not Applicable"))</f>
        <v>Not Applicable</v>
      </c>
      <c r="H49" t="s">
        <v>47</v>
      </c>
      <c r="I49" s="3">
        <v>56875.199999999997</v>
      </c>
      <c r="J49" s="7">
        <v>9914040</v>
      </c>
      <c r="K49" s="7">
        <v>11993</v>
      </c>
      <c r="L49" s="7">
        <v>139</v>
      </c>
      <c r="M49" s="7">
        <v>14</v>
      </c>
      <c r="N49" s="2">
        <v>49644</v>
      </c>
      <c r="O49" s="6">
        <f>Table1[[#This Row],[Clicks]]/Table1[[#This Row],[Impressions]]</f>
        <v>1.2096985688982494E-3</v>
      </c>
      <c r="P49" s="6">
        <f>Table1[[#This Row],[Leads]]/Table1[[#This Row],[Clicks]]</f>
        <v>1.1590094221629283E-2</v>
      </c>
      <c r="Q49" s="6" t="str">
        <f>IF(Table1[[#This Row],[Conversion1]]&gt;=2%,"High","Low")</f>
        <v>Low</v>
      </c>
      <c r="R49" s="6">
        <f>IFERROR(Table1[[#This Row],[Orders]]/Table1[[#This Row],[Leads]],0)</f>
        <v>0.10071942446043165</v>
      </c>
      <c r="S49" s="6" t="str">
        <f>IF(Table1[[#This Row],[Conversion2]]&gt;=15%,"High","Low")</f>
        <v>Low</v>
      </c>
      <c r="T49" s="4">
        <f>IFERROR(Table1[[#This Row],[Revenue]]/Table1[[#This Row],[Orders]],0)</f>
        <v>3546</v>
      </c>
      <c r="U49" s="4">
        <f>Table1[[#This Row],[Market_Budget]]/Table1[[#This Row],[Clicks]]</f>
        <v>4.7423663803885594</v>
      </c>
      <c r="V49" s="4">
        <f>IFERROR(Table1[[#This Row],[Market_Budget]]/Table1[[#This Row],[Leads]],0)</f>
        <v>409.17410071942442</v>
      </c>
      <c r="W49" s="4">
        <f>IFERROR(Table1[[#This Row],[Market_Budget]]/Table1[[#This Row],[Orders]],0)</f>
        <v>4062.5142857142855</v>
      </c>
      <c r="X49" s="15">
        <f>(Table1[[#This Row],[Revenue]]-Table1[[#This Row],[Market_Budget]])/Table1[[#This Row],[Market_Budget]]</f>
        <v>-0.12714153093088021</v>
      </c>
      <c r="Y49" s="5">
        <f>Table1[[#This Row],[Revenue]]-Table1[[#This Row],[Market_Budget]]</f>
        <v>-7231.1999999999971</v>
      </c>
    </row>
    <row r="50" spans="1:25" x14ac:dyDescent="0.35">
      <c r="A50">
        <v>10934</v>
      </c>
      <c r="B50" s="1">
        <v>44232</v>
      </c>
      <c r="C50" s="1" t="str">
        <f>TEXT(Table1[[#This Row],[Date]],"dddd")</f>
        <v>Friday</v>
      </c>
      <c r="D50" s="1" t="str">
        <f>IF(WEEKDAY(Table1[[#This Row],[Date]],2)&gt;5,"Weekend","Weekday")</f>
        <v>Weekday</v>
      </c>
      <c r="E50" t="s">
        <v>40</v>
      </c>
      <c r="F50" t="str">
        <f>_xlfn.TEXTAFTER(Table1[[#This Row],[Campaign_Name]],"_")</f>
        <v>Blogger</v>
      </c>
      <c r="G50" t="str">
        <f>IF(ISNUMBER(SEARCH("Tier1",Table1[[#This Row],[Campaign_Name]])),"Tier1",IF(ISNUMBER(SEARCH("Tier2",Table1[[#This Row],[Campaign_Name]])),"Tier2","Not Applicable"))</f>
        <v>Not Applicable</v>
      </c>
      <c r="H50" t="s">
        <v>48</v>
      </c>
      <c r="I50" s="3">
        <v>442617</v>
      </c>
      <c r="J50" s="7">
        <v>1965108</v>
      </c>
      <c r="K50" s="7">
        <v>22507</v>
      </c>
      <c r="L50" s="7">
        <v>731</v>
      </c>
      <c r="M50" s="7">
        <v>146</v>
      </c>
      <c r="N50" s="2">
        <v>1165230</v>
      </c>
      <c r="O50" s="6">
        <f>Table1[[#This Row],[Clicks]]/Table1[[#This Row],[Impressions]]</f>
        <v>1.1453314525206757E-2</v>
      </c>
      <c r="P50" s="6">
        <f>Table1[[#This Row],[Leads]]/Table1[[#This Row],[Clicks]]</f>
        <v>3.2478784378193452E-2</v>
      </c>
      <c r="Q50" s="6" t="str">
        <f>IF(Table1[[#This Row],[Conversion1]]&gt;=2%,"High","Low")</f>
        <v>High</v>
      </c>
      <c r="R50" s="6">
        <f>IFERROR(Table1[[#This Row],[Orders]]/Table1[[#This Row],[Leads]],0)</f>
        <v>0.19972640218878249</v>
      </c>
      <c r="S50" s="6" t="str">
        <f>IF(Table1[[#This Row],[Conversion2]]&gt;=15%,"High","Low")</f>
        <v>High</v>
      </c>
      <c r="T50" s="4">
        <f>IFERROR(Table1[[#This Row],[Revenue]]/Table1[[#This Row],[Orders]],0)</f>
        <v>7981.0273972602736</v>
      </c>
      <c r="U50" s="4">
        <f>Table1[[#This Row],[Market_Budget]]/Table1[[#This Row],[Clicks]]</f>
        <v>19.665748433820589</v>
      </c>
      <c r="V50" s="4">
        <f>IFERROR(Table1[[#This Row],[Market_Budget]]/Table1[[#This Row],[Leads]],0)</f>
        <v>605.49521203830375</v>
      </c>
      <c r="W50" s="4">
        <f>IFERROR(Table1[[#This Row],[Market_Budget]]/Table1[[#This Row],[Orders]],0)</f>
        <v>3031.6232876712329</v>
      </c>
      <c r="X50" s="15">
        <f>(Table1[[#This Row],[Revenue]]-Table1[[#This Row],[Market_Budget]])/Table1[[#This Row],[Market_Budget]]</f>
        <v>1.6325920604043676</v>
      </c>
      <c r="Y50" s="5">
        <f>Table1[[#This Row],[Revenue]]-Table1[[#This Row],[Market_Budget]]</f>
        <v>722613</v>
      </c>
    </row>
    <row r="51" spans="1:25" x14ac:dyDescent="0.35">
      <c r="A51">
        <v>9034945</v>
      </c>
      <c r="B51" s="1">
        <v>44232</v>
      </c>
      <c r="C51" s="1" t="str">
        <f>TEXT(Table1[[#This Row],[Date]],"dddd")</f>
        <v>Friday</v>
      </c>
      <c r="D51" s="1" t="str">
        <f>IF(WEEKDAY(Table1[[#This Row],[Date]],2)&gt;5,"Weekend","Weekday")</f>
        <v>Weekday</v>
      </c>
      <c r="E51" t="s">
        <v>41</v>
      </c>
      <c r="F51" t="str">
        <f>_xlfn.TEXTAFTER(Table1[[#This Row],[Campaign_Name]],"_")</f>
        <v>Tier1</v>
      </c>
      <c r="G51" t="str">
        <f>IF(ISNUMBER(SEARCH("Tier1",Table1[[#This Row],[Campaign_Name]])),"Tier1",IF(ISNUMBER(SEARCH("Tier2",Table1[[#This Row],[Campaign_Name]])),"Tier2","Not Applicable"))</f>
        <v>Tier1</v>
      </c>
      <c r="H51" t="s">
        <v>61</v>
      </c>
      <c r="I51" s="3">
        <v>258306</v>
      </c>
      <c r="J51" s="7">
        <v>7485780</v>
      </c>
      <c r="K51" s="7">
        <v>13498</v>
      </c>
      <c r="L51" s="7">
        <v>526</v>
      </c>
      <c r="M51" s="7">
        <v>76</v>
      </c>
      <c r="N51" s="2">
        <v>454556</v>
      </c>
      <c r="O51" s="6">
        <f>Table1[[#This Row],[Clicks]]/Table1[[#This Row],[Impressions]]</f>
        <v>1.8031521097333879E-3</v>
      </c>
      <c r="P51" s="6">
        <f>Table1[[#This Row],[Leads]]/Table1[[#This Row],[Clicks]]</f>
        <v>3.8968736109053194E-2</v>
      </c>
      <c r="Q51" s="6" t="str">
        <f>IF(Table1[[#This Row],[Conversion1]]&gt;=2%,"High","Low")</f>
        <v>High</v>
      </c>
      <c r="R51" s="6">
        <f>IFERROR(Table1[[#This Row],[Orders]]/Table1[[#This Row],[Leads]],0)</f>
        <v>0.14448669201520911</v>
      </c>
      <c r="S51" s="6" t="str">
        <f>IF(Table1[[#This Row],[Conversion2]]&gt;=15%,"High","Low")</f>
        <v>Low</v>
      </c>
      <c r="T51" s="4">
        <f>IFERROR(Table1[[#This Row],[Revenue]]/Table1[[#This Row],[Orders]],0)</f>
        <v>5981</v>
      </c>
      <c r="U51" s="4">
        <f>Table1[[#This Row],[Market_Budget]]/Table1[[#This Row],[Clicks]]</f>
        <v>19.136612831530599</v>
      </c>
      <c r="V51" s="4">
        <f>IFERROR(Table1[[#This Row],[Market_Budget]]/Table1[[#This Row],[Leads]],0)</f>
        <v>491.0760456273764</v>
      </c>
      <c r="W51" s="4">
        <f>IFERROR(Table1[[#This Row],[Market_Budget]]/Table1[[#This Row],[Orders]],0)</f>
        <v>3398.7631578947367</v>
      </c>
      <c r="X51" s="15">
        <f>(Table1[[#This Row],[Revenue]]-Table1[[#This Row],[Market_Budget]])/Table1[[#This Row],[Market_Budget]]</f>
        <v>0.75975780663244374</v>
      </c>
      <c r="Y51" s="5">
        <f>Table1[[#This Row],[Revenue]]-Table1[[#This Row],[Market_Budget]]</f>
        <v>196250</v>
      </c>
    </row>
    <row r="52" spans="1:25" x14ac:dyDescent="0.35">
      <c r="A52">
        <v>983498</v>
      </c>
      <c r="B52" s="1">
        <v>44232</v>
      </c>
      <c r="C52" s="1" t="str">
        <f>TEXT(Table1[[#This Row],[Date]],"dddd")</f>
        <v>Friday</v>
      </c>
      <c r="D52" s="1" t="str">
        <f>IF(WEEKDAY(Table1[[#This Row],[Date]],2)&gt;5,"Weekend","Weekday")</f>
        <v>Weekday</v>
      </c>
      <c r="E52" t="s">
        <v>42</v>
      </c>
      <c r="F52" t="str">
        <f>_xlfn.TEXTAFTER(Table1[[#This Row],[Campaign_Name]],"_")</f>
        <v>Tier2</v>
      </c>
      <c r="G52" t="str">
        <f>IF(ISNUMBER(SEARCH("Tier1",Table1[[#This Row],[Campaign_Name]])),"Tier1",IF(ISNUMBER(SEARCH("Tier2",Table1[[#This Row],[Campaign_Name]])),"Tier2","Not Applicable"))</f>
        <v>Tier2</v>
      </c>
      <c r="H52" t="s">
        <v>61</v>
      </c>
      <c r="I52" s="3">
        <v>13588.8</v>
      </c>
      <c r="J52" s="7">
        <v>5100600</v>
      </c>
      <c r="K52" s="7">
        <v>25503</v>
      </c>
      <c r="L52" s="7">
        <v>765</v>
      </c>
      <c r="M52" s="7">
        <v>4</v>
      </c>
      <c r="N52" s="2">
        <v>7924</v>
      </c>
      <c r="O52" s="6">
        <f>Table1[[#This Row],[Clicks]]/Table1[[#This Row],[Impressions]]</f>
        <v>5.0000000000000001E-3</v>
      </c>
      <c r="P52" s="6">
        <f>Table1[[#This Row],[Leads]]/Table1[[#This Row],[Clicks]]</f>
        <v>2.9996471003411362E-2</v>
      </c>
      <c r="Q52" s="6" t="str">
        <f>IF(Table1[[#This Row],[Conversion1]]&gt;=2%,"High","Low")</f>
        <v>High</v>
      </c>
      <c r="R52" s="6">
        <f>IFERROR(Table1[[#This Row],[Orders]]/Table1[[#This Row],[Leads]],0)</f>
        <v>5.2287581699346402E-3</v>
      </c>
      <c r="S52" s="6" t="str">
        <f>IF(Table1[[#This Row],[Conversion2]]&gt;=15%,"High","Low")</f>
        <v>Low</v>
      </c>
      <c r="T52" s="4">
        <f>IFERROR(Table1[[#This Row],[Revenue]]/Table1[[#This Row],[Orders]],0)</f>
        <v>1981</v>
      </c>
      <c r="U52" s="4">
        <f>Table1[[#This Row],[Market_Budget]]/Table1[[#This Row],[Clicks]]</f>
        <v>0.53283143159628277</v>
      </c>
      <c r="V52" s="4">
        <f>IFERROR(Table1[[#This Row],[Market_Budget]]/Table1[[#This Row],[Leads]],0)</f>
        <v>17.763137254901959</v>
      </c>
      <c r="W52" s="4">
        <f>IFERROR(Table1[[#This Row],[Market_Budget]]/Table1[[#This Row],[Orders]],0)</f>
        <v>3397.2</v>
      </c>
      <c r="X52" s="15">
        <f>(Table1[[#This Row],[Revenue]]-Table1[[#This Row],[Market_Budget]])/Table1[[#This Row],[Market_Budget]]</f>
        <v>-0.41687271870952547</v>
      </c>
      <c r="Y52" s="5">
        <f>Table1[[#This Row],[Revenue]]-Table1[[#This Row],[Market_Budget]]</f>
        <v>-5664.7999999999993</v>
      </c>
    </row>
    <row r="53" spans="1:25" x14ac:dyDescent="0.35">
      <c r="A53">
        <v>4387490</v>
      </c>
      <c r="B53" s="1">
        <v>44232</v>
      </c>
      <c r="C53" s="1" t="str">
        <f>TEXT(Table1[[#This Row],[Date]],"dddd")</f>
        <v>Friday</v>
      </c>
      <c r="D53" s="1" t="str">
        <f>IF(WEEKDAY(Table1[[#This Row],[Date]],2)&gt;5,"Weekend","Weekday")</f>
        <v>Weekday</v>
      </c>
      <c r="E53" t="s">
        <v>43</v>
      </c>
      <c r="F53" t="str">
        <f>_xlfn.TEXTAFTER(Table1[[#This Row],[Campaign_Name]],"_")</f>
        <v>Retargeting</v>
      </c>
      <c r="G53" t="str">
        <f>IF(ISNUMBER(SEARCH("Tier1",Table1[[#This Row],[Campaign_Name]])),"Tier1",IF(ISNUMBER(SEARCH("Tier2",Table1[[#This Row],[Campaign_Name]])),"Tier2","Not Applicable"))</f>
        <v>Not Applicable</v>
      </c>
      <c r="H53" t="s">
        <v>61</v>
      </c>
      <c r="I53" s="3">
        <v>6790.74</v>
      </c>
      <c r="J53" s="7">
        <v>48954</v>
      </c>
      <c r="K53" s="7">
        <v>1505</v>
      </c>
      <c r="L53" s="7">
        <v>30</v>
      </c>
      <c r="M53" s="7">
        <v>5</v>
      </c>
      <c r="N53" s="2">
        <v>27060</v>
      </c>
      <c r="O53" s="6">
        <f>Table1[[#This Row],[Clicks]]/Table1[[#This Row],[Impressions]]</f>
        <v>3.0743146627446174E-2</v>
      </c>
      <c r="P53" s="6">
        <f>Table1[[#This Row],[Leads]]/Table1[[#This Row],[Clicks]]</f>
        <v>1.9933554817275746E-2</v>
      </c>
      <c r="Q53" s="6" t="str">
        <f>IF(Table1[[#This Row],[Conversion1]]&gt;=2%,"High","Low")</f>
        <v>Low</v>
      </c>
      <c r="R53" s="6">
        <f>IFERROR(Table1[[#This Row],[Orders]]/Table1[[#This Row],[Leads]],0)</f>
        <v>0.16666666666666666</v>
      </c>
      <c r="S53" s="6" t="str">
        <f>IF(Table1[[#This Row],[Conversion2]]&gt;=15%,"High","Low")</f>
        <v>High</v>
      </c>
      <c r="T53" s="4">
        <f>IFERROR(Table1[[#This Row],[Revenue]]/Table1[[#This Row],[Orders]],0)</f>
        <v>5412</v>
      </c>
      <c r="U53" s="4">
        <f>Table1[[#This Row],[Market_Budget]]/Table1[[#This Row],[Clicks]]</f>
        <v>4.5121196013289033</v>
      </c>
      <c r="V53" s="4">
        <f>IFERROR(Table1[[#This Row],[Market_Budget]]/Table1[[#This Row],[Leads]],0)</f>
        <v>226.358</v>
      </c>
      <c r="W53" s="4">
        <f>IFERROR(Table1[[#This Row],[Market_Budget]]/Table1[[#This Row],[Orders]],0)</f>
        <v>1358.1479999999999</v>
      </c>
      <c r="X53" s="15">
        <f>(Table1[[#This Row],[Revenue]]-Table1[[#This Row],[Market_Budget]])/Table1[[#This Row],[Market_Budget]]</f>
        <v>2.9848381766935566</v>
      </c>
      <c r="Y53" s="5">
        <f>Table1[[#This Row],[Revenue]]-Table1[[#This Row],[Market_Budget]]</f>
        <v>20269.260000000002</v>
      </c>
    </row>
    <row r="54" spans="1:25" x14ac:dyDescent="0.35">
      <c r="A54">
        <v>544756</v>
      </c>
      <c r="B54" s="1">
        <v>44232</v>
      </c>
      <c r="C54" s="1" t="str">
        <f>TEXT(Table1[[#This Row],[Date]],"dddd")</f>
        <v>Friday</v>
      </c>
      <c r="D54" s="1" t="str">
        <f>IF(WEEKDAY(Table1[[#This Row],[Date]],2)&gt;5,"Weekend","Weekday")</f>
        <v>Weekday</v>
      </c>
      <c r="E54" t="s">
        <v>44</v>
      </c>
      <c r="F54" t="str">
        <f>_xlfn.TEXTAFTER(Table1[[#This Row],[Campaign_Name]],"_")</f>
        <v>Lal</v>
      </c>
      <c r="G54" t="str">
        <f>IF(ISNUMBER(SEARCH("Tier1",Table1[[#This Row],[Campaign_Name]])),"Tier1",IF(ISNUMBER(SEARCH("Tier2",Table1[[#This Row],[Campaign_Name]])),"Tier2","Not Applicable"))</f>
        <v>Not Applicable</v>
      </c>
      <c r="H54" t="s">
        <v>61</v>
      </c>
      <c r="I54" s="3">
        <v>192789</v>
      </c>
      <c r="J54" s="7">
        <v>600400</v>
      </c>
      <c r="K54" s="7">
        <v>6004</v>
      </c>
      <c r="L54" s="7">
        <v>120</v>
      </c>
      <c r="M54" s="7">
        <v>21</v>
      </c>
      <c r="N54" s="2">
        <v>9492</v>
      </c>
      <c r="O54" s="6">
        <f>Table1[[#This Row],[Clicks]]/Table1[[#This Row],[Impressions]]</f>
        <v>0.01</v>
      </c>
      <c r="P54" s="6">
        <f>Table1[[#This Row],[Leads]]/Table1[[#This Row],[Clicks]]</f>
        <v>1.9986675549633577E-2</v>
      </c>
      <c r="Q54" s="6" t="str">
        <f>IF(Table1[[#This Row],[Conversion1]]&gt;=2%,"High","Low")</f>
        <v>Low</v>
      </c>
      <c r="R54" s="6">
        <f>IFERROR(Table1[[#This Row],[Orders]]/Table1[[#This Row],[Leads]],0)</f>
        <v>0.17499999999999999</v>
      </c>
      <c r="S54" s="6" t="str">
        <f>IF(Table1[[#This Row],[Conversion2]]&gt;=15%,"High","Low")</f>
        <v>High</v>
      </c>
      <c r="T54" s="4">
        <f>IFERROR(Table1[[#This Row],[Revenue]]/Table1[[#This Row],[Orders]],0)</f>
        <v>452</v>
      </c>
      <c r="U54" s="4">
        <f>Table1[[#This Row],[Market_Budget]]/Table1[[#This Row],[Clicks]]</f>
        <v>32.110093271152564</v>
      </c>
      <c r="V54" s="4">
        <f>IFERROR(Table1[[#This Row],[Market_Budget]]/Table1[[#This Row],[Leads]],0)</f>
        <v>1606.575</v>
      </c>
      <c r="W54" s="4">
        <f>IFERROR(Table1[[#This Row],[Market_Budget]]/Table1[[#This Row],[Orders]],0)</f>
        <v>9180.4285714285706</v>
      </c>
      <c r="X54" s="15">
        <f>(Table1[[#This Row],[Revenue]]-Table1[[#This Row],[Market_Budget]])/Table1[[#This Row],[Market_Budget]]</f>
        <v>-0.95076482579400279</v>
      </c>
      <c r="Y54" s="5">
        <f>Table1[[#This Row],[Revenue]]-Table1[[#This Row],[Market_Budget]]</f>
        <v>-183297</v>
      </c>
    </row>
    <row r="55" spans="1:25" x14ac:dyDescent="0.35">
      <c r="A55">
        <v>374754</v>
      </c>
      <c r="B55" s="1">
        <v>44232</v>
      </c>
      <c r="C55" s="1" t="str">
        <f>TEXT(Table1[[#This Row],[Date]],"dddd")</f>
        <v>Friday</v>
      </c>
      <c r="D55" s="1" t="str">
        <f>IF(WEEKDAY(Table1[[#This Row],[Date]],2)&gt;5,"Weekend","Weekday")</f>
        <v>Weekday</v>
      </c>
      <c r="E55" t="s">
        <v>45</v>
      </c>
      <c r="F55" t="str">
        <f>_xlfn.TEXTAFTER(Table1[[#This Row],[Campaign_Name]],"_")</f>
        <v>Blogger</v>
      </c>
      <c r="G55" t="str">
        <f>IF(ISNUMBER(SEARCH("Tier1",Table1[[#This Row],[Campaign_Name]])),"Tier1",IF(ISNUMBER(SEARCH("Tier2",Table1[[#This Row],[Campaign_Name]])),"Tier2","Not Applicable"))</f>
        <v>Not Applicable</v>
      </c>
      <c r="H55" t="s">
        <v>48</v>
      </c>
      <c r="I55" s="3">
        <v>36431.699999999997</v>
      </c>
      <c r="J55" s="7">
        <v>2153303</v>
      </c>
      <c r="K55" s="7">
        <v>15003</v>
      </c>
      <c r="L55" s="7">
        <v>51</v>
      </c>
      <c r="M55" s="7">
        <v>8</v>
      </c>
      <c r="N55" s="2">
        <v>47816</v>
      </c>
      <c r="O55" s="6">
        <f>Table1[[#This Row],[Clicks]]/Table1[[#This Row],[Impressions]]</f>
        <v>6.967435609387067E-3</v>
      </c>
      <c r="P55" s="6">
        <f>Table1[[#This Row],[Leads]]/Table1[[#This Row],[Clicks]]</f>
        <v>3.3993201359728054E-3</v>
      </c>
      <c r="Q55" s="6" t="str">
        <f>IF(Table1[[#This Row],[Conversion1]]&gt;=2%,"High","Low")</f>
        <v>Low</v>
      </c>
      <c r="R55" s="6">
        <f>IFERROR(Table1[[#This Row],[Orders]]/Table1[[#This Row],[Leads]],0)</f>
        <v>0.15686274509803921</v>
      </c>
      <c r="S55" s="6" t="str">
        <f>IF(Table1[[#This Row],[Conversion2]]&gt;=15%,"High","Low")</f>
        <v>High</v>
      </c>
      <c r="T55" s="4">
        <f>IFERROR(Table1[[#This Row],[Revenue]]/Table1[[#This Row],[Orders]],0)</f>
        <v>5977</v>
      </c>
      <c r="U55" s="4">
        <f>Table1[[#This Row],[Market_Budget]]/Table1[[#This Row],[Clicks]]</f>
        <v>2.4282943411317737</v>
      </c>
      <c r="V55" s="4">
        <f>IFERROR(Table1[[#This Row],[Market_Budget]]/Table1[[#This Row],[Leads]],0)</f>
        <v>714.34705882352932</v>
      </c>
      <c r="W55" s="4">
        <f>IFERROR(Table1[[#This Row],[Market_Budget]]/Table1[[#This Row],[Orders]],0)</f>
        <v>4553.9624999999996</v>
      </c>
      <c r="X55" s="15">
        <f>(Table1[[#This Row],[Revenue]]-Table1[[#This Row],[Market_Budget]])/Table1[[#This Row],[Market_Budget]]</f>
        <v>0.31248335927228221</v>
      </c>
      <c r="Y55" s="5">
        <f>Table1[[#This Row],[Revenue]]-Table1[[#This Row],[Market_Budget]]</f>
        <v>11384.300000000003</v>
      </c>
    </row>
    <row r="56" spans="1:25" x14ac:dyDescent="0.35">
      <c r="A56">
        <v>39889</v>
      </c>
      <c r="B56" s="1">
        <v>44232</v>
      </c>
      <c r="C56" s="1" t="str">
        <f>TEXT(Table1[[#This Row],[Date]],"dddd")</f>
        <v>Friday</v>
      </c>
      <c r="D56" s="1" t="str">
        <f>IF(WEEKDAY(Table1[[#This Row],[Date]],2)&gt;5,"Weekend","Weekday")</f>
        <v>Weekday</v>
      </c>
      <c r="E56" t="s">
        <v>46</v>
      </c>
      <c r="F56" t="str">
        <f>_xlfn.TEXTAFTER(Table1[[#This Row],[Campaign_Name]],"_")</f>
        <v>Partner</v>
      </c>
      <c r="G56" t="str">
        <f>IF(ISNUMBER(SEARCH("Tier1",Table1[[#This Row],[Campaign_Name]])),"Tier1",IF(ISNUMBER(SEARCH("Tier2",Table1[[#This Row],[Campaign_Name]])),"Tier2","Not Applicable"))</f>
        <v>Not Applicable</v>
      </c>
      <c r="H56" t="s">
        <v>62</v>
      </c>
      <c r="I56" s="3">
        <v>427922</v>
      </c>
      <c r="J56" s="7">
        <v>8238872</v>
      </c>
      <c r="K56" s="7">
        <v>20997</v>
      </c>
      <c r="L56" s="7">
        <v>796</v>
      </c>
      <c r="M56" s="7">
        <v>119</v>
      </c>
      <c r="N56" s="2">
        <v>471240</v>
      </c>
      <c r="O56" s="6">
        <f>Table1[[#This Row],[Clicks]]/Table1[[#This Row],[Impressions]]</f>
        <v>2.5485284878803798E-3</v>
      </c>
      <c r="P56" s="6">
        <f>Table1[[#This Row],[Leads]]/Table1[[#This Row],[Clicks]]</f>
        <v>3.7910177644425391E-2</v>
      </c>
      <c r="Q56" s="6" t="str">
        <f>IF(Table1[[#This Row],[Conversion1]]&gt;=2%,"High","Low")</f>
        <v>High</v>
      </c>
      <c r="R56" s="6">
        <f>IFERROR(Table1[[#This Row],[Orders]]/Table1[[#This Row],[Leads]],0)</f>
        <v>0.14949748743718594</v>
      </c>
      <c r="S56" s="6" t="str">
        <f>IF(Table1[[#This Row],[Conversion2]]&gt;=15%,"High","Low")</f>
        <v>Low</v>
      </c>
      <c r="T56" s="4">
        <f>IFERROR(Table1[[#This Row],[Revenue]]/Table1[[#This Row],[Orders]],0)</f>
        <v>3960</v>
      </c>
      <c r="U56" s="4">
        <f>Table1[[#This Row],[Market_Budget]]/Table1[[#This Row],[Clicks]]</f>
        <v>20.380149545173118</v>
      </c>
      <c r="V56" s="4">
        <f>IFERROR(Table1[[#This Row],[Market_Budget]]/Table1[[#This Row],[Leads]],0)</f>
        <v>537.5904522613065</v>
      </c>
      <c r="W56" s="4">
        <f>IFERROR(Table1[[#This Row],[Market_Budget]]/Table1[[#This Row],[Orders]],0)</f>
        <v>3595.9831932773109</v>
      </c>
      <c r="X56" s="15">
        <f>(Table1[[#This Row],[Revenue]]-Table1[[#This Row],[Market_Budget]])/Table1[[#This Row],[Market_Budget]]</f>
        <v>0.10122872860007198</v>
      </c>
      <c r="Y56" s="5">
        <f>Table1[[#This Row],[Revenue]]-Table1[[#This Row],[Market_Budget]]</f>
        <v>43318</v>
      </c>
    </row>
    <row r="57" spans="1:25" x14ac:dyDescent="0.35">
      <c r="A57">
        <v>349043</v>
      </c>
      <c r="B57" s="1">
        <v>44233</v>
      </c>
      <c r="C57" s="1" t="str">
        <f>TEXT(Table1[[#This Row],[Date]],"dddd")</f>
        <v>Saturday</v>
      </c>
      <c r="D57" s="1" t="str">
        <f>IF(WEEKDAY(Table1[[#This Row],[Date]],2)&gt;5,"Weekend","Weekday")</f>
        <v>Weekend</v>
      </c>
      <c r="E57" t="s">
        <v>36</v>
      </c>
      <c r="F57" t="str">
        <f>_xlfn.TEXTAFTER(Table1[[#This Row],[Campaign_Name]],"_")</f>
        <v>Tier1</v>
      </c>
      <c r="G57" t="str">
        <f>IF(ISNUMBER(SEARCH("Tier1",Table1[[#This Row],[Campaign_Name]])),"Tier1",IF(ISNUMBER(SEARCH("Tier2",Table1[[#This Row],[Campaign_Name]])),"Tier2","Not Applicable"))</f>
        <v>Tier1</v>
      </c>
      <c r="H57" t="s">
        <v>61</v>
      </c>
      <c r="I57" s="3">
        <v>40407.9</v>
      </c>
      <c r="J57" s="7">
        <v>310024</v>
      </c>
      <c r="K57" s="7">
        <v>2391</v>
      </c>
      <c r="L57" s="7">
        <v>76</v>
      </c>
      <c r="M57" s="7">
        <v>9</v>
      </c>
      <c r="N57" s="2">
        <v>46152</v>
      </c>
      <c r="O57" s="6">
        <f>Table1[[#This Row],[Clicks]]/Table1[[#This Row],[Impressions]]</f>
        <v>7.7123061440404614E-3</v>
      </c>
      <c r="P57" s="6">
        <f>Table1[[#This Row],[Leads]]/Table1[[#This Row],[Clicks]]</f>
        <v>3.1785863655374322E-2</v>
      </c>
      <c r="Q57" s="6" t="str">
        <f>IF(Table1[[#This Row],[Conversion1]]&gt;=2%,"High","Low")</f>
        <v>High</v>
      </c>
      <c r="R57" s="6">
        <f>IFERROR(Table1[[#This Row],[Orders]]/Table1[[#This Row],[Leads]],0)</f>
        <v>0.11842105263157894</v>
      </c>
      <c r="S57" s="6" t="str">
        <f>IF(Table1[[#This Row],[Conversion2]]&gt;=15%,"High","Low")</f>
        <v>Low</v>
      </c>
      <c r="T57" s="4">
        <f>IFERROR(Table1[[#This Row],[Revenue]]/Table1[[#This Row],[Orders]],0)</f>
        <v>5128</v>
      </c>
      <c r="U57" s="4">
        <f>Table1[[#This Row],[Market_Budget]]/Table1[[#This Row],[Clicks]]</f>
        <v>16.900000000000002</v>
      </c>
      <c r="V57" s="4">
        <f>IFERROR(Table1[[#This Row],[Market_Budget]]/Table1[[#This Row],[Leads]],0)</f>
        <v>531.68289473684217</v>
      </c>
      <c r="W57" s="4">
        <f>IFERROR(Table1[[#This Row],[Market_Budget]]/Table1[[#This Row],[Orders]],0)</f>
        <v>4489.7666666666664</v>
      </c>
      <c r="X57" s="15">
        <f>(Table1[[#This Row],[Revenue]]-Table1[[#This Row],[Market_Budget]])/Table1[[#This Row],[Market_Budget]]</f>
        <v>0.1421528958446244</v>
      </c>
      <c r="Y57" s="5">
        <f>Table1[[#This Row],[Revenue]]-Table1[[#This Row],[Market_Budget]]</f>
        <v>5744.0999999999985</v>
      </c>
    </row>
    <row r="58" spans="1:25" x14ac:dyDescent="0.35">
      <c r="A58">
        <v>348934</v>
      </c>
      <c r="B58" s="1">
        <v>44233</v>
      </c>
      <c r="C58" s="1" t="str">
        <f>TEXT(Table1[[#This Row],[Date]],"dddd")</f>
        <v>Saturday</v>
      </c>
      <c r="D58" s="1" t="str">
        <f>IF(WEEKDAY(Table1[[#This Row],[Date]],2)&gt;5,"Weekend","Weekday")</f>
        <v>Weekend</v>
      </c>
      <c r="E58" t="s">
        <v>37</v>
      </c>
      <c r="F58" t="str">
        <f>_xlfn.TEXTAFTER(Table1[[#This Row],[Campaign_Name]],"_")</f>
        <v>Tier2</v>
      </c>
      <c r="G58" t="str">
        <f>IF(ISNUMBER(SEARCH("Tier1",Table1[[#This Row],[Campaign_Name]])),"Tier1",IF(ISNUMBER(SEARCH("Tier2",Table1[[#This Row],[Campaign_Name]])),"Tier2","Not Applicable"))</f>
        <v>Tier2</v>
      </c>
      <c r="H58" t="s">
        <v>61</v>
      </c>
      <c r="I58" s="3">
        <v>62272.6</v>
      </c>
      <c r="J58" s="7">
        <v>448321</v>
      </c>
      <c r="K58" s="7">
        <v>3302</v>
      </c>
      <c r="L58" s="7">
        <v>108</v>
      </c>
      <c r="M58" s="7">
        <v>9</v>
      </c>
      <c r="N58" s="2">
        <v>44829</v>
      </c>
      <c r="O58" s="6">
        <f>Table1[[#This Row],[Clicks]]/Table1[[#This Row],[Impressions]]</f>
        <v>7.3652583751374571E-3</v>
      </c>
      <c r="P58" s="6">
        <f>Table1[[#This Row],[Leads]]/Table1[[#This Row],[Clicks]]</f>
        <v>3.2707450030284677E-2</v>
      </c>
      <c r="Q58" s="6" t="str">
        <f>IF(Table1[[#This Row],[Conversion1]]&gt;=2%,"High","Low")</f>
        <v>High</v>
      </c>
      <c r="R58" s="6">
        <f>IFERROR(Table1[[#This Row],[Orders]]/Table1[[#This Row],[Leads]],0)</f>
        <v>8.3333333333333329E-2</v>
      </c>
      <c r="S58" s="6" t="str">
        <f>IF(Table1[[#This Row],[Conversion2]]&gt;=15%,"High","Low")</f>
        <v>Low</v>
      </c>
      <c r="T58" s="4">
        <f>IFERROR(Table1[[#This Row],[Revenue]]/Table1[[#This Row],[Orders]],0)</f>
        <v>4981</v>
      </c>
      <c r="U58" s="4">
        <f>Table1[[#This Row],[Market_Budget]]/Table1[[#This Row],[Clicks]]</f>
        <v>18.859055118110234</v>
      </c>
      <c r="V58" s="4">
        <f>IFERROR(Table1[[#This Row],[Market_Budget]]/Table1[[#This Row],[Leads]],0)</f>
        <v>576.59814814814808</v>
      </c>
      <c r="W58" s="4">
        <f>IFERROR(Table1[[#This Row],[Market_Budget]]/Table1[[#This Row],[Orders]],0)</f>
        <v>6919.1777777777779</v>
      </c>
      <c r="X58" s="15">
        <f>(Table1[[#This Row],[Revenue]]-Table1[[#This Row],[Market_Budget]])/Table1[[#This Row],[Market_Budget]]</f>
        <v>-0.28011677688100384</v>
      </c>
      <c r="Y58" s="5">
        <f>Table1[[#This Row],[Revenue]]-Table1[[#This Row],[Market_Budget]]</f>
        <v>-17443.599999999999</v>
      </c>
    </row>
    <row r="59" spans="1:25" x14ac:dyDescent="0.35">
      <c r="A59">
        <v>89459845</v>
      </c>
      <c r="B59" s="1">
        <v>44233</v>
      </c>
      <c r="C59" s="1" t="str">
        <f>TEXT(Table1[[#This Row],[Date]],"dddd")</f>
        <v>Saturday</v>
      </c>
      <c r="D59" s="1" t="str">
        <f>IF(WEEKDAY(Table1[[#This Row],[Date]],2)&gt;5,"Weekend","Weekday")</f>
        <v>Weekend</v>
      </c>
      <c r="E59" t="s">
        <v>38</v>
      </c>
      <c r="F59" t="str">
        <f>_xlfn.TEXTAFTER(Table1[[#This Row],[Campaign_Name]],"_")</f>
        <v>Hot</v>
      </c>
      <c r="G59" t="str">
        <f>IF(ISNUMBER(SEARCH("Tier1",Table1[[#This Row],[Campaign_Name]])),"Tier1",IF(ISNUMBER(SEARCH("Tier2",Table1[[#This Row],[Campaign_Name]])),"Tier2","Not Applicable"))</f>
        <v>Not Applicable</v>
      </c>
      <c r="H59" t="s">
        <v>47</v>
      </c>
      <c r="I59" s="3">
        <v>6768.87</v>
      </c>
      <c r="J59" s="7">
        <v>44950</v>
      </c>
      <c r="K59" s="7">
        <v>899</v>
      </c>
      <c r="L59" s="7">
        <v>13</v>
      </c>
      <c r="M59" s="7">
        <v>1</v>
      </c>
      <c r="N59" s="2">
        <v>8136</v>
      </c>
      <c r="O59" s="6">
        <f>Table1[[#This Row],[Clicks]]/Table1[[#This Row],[Impressions]]</f>
        <v>0.02</v>
      </c>
      <c r="P59" s="6">
        <f>Table1[[#This Row],[Leads]]/Table1[[#This Row],[Clicks]]</f>
        <v>1.4460511679644048E-2</v>
      </c>
      <c r="Q59" s="6" t="str">
        <f>IF(Table1[[#This Row],[Conversion1]]&gt;=2%,"High","Low")</f>
        <v>Low</v>
      </c>
      <c r="R59" s="6">
        <f>IFERROR(Table1[[#This Row],[Orders]]/Table1[[#This Row],[Leads]],0)</f>
        <v>7.6923076923076927E-2</v>
      </c>
      <c r="S59" s="6" t="str">
        <f>IF(Table1[[#This Row],[Conversion2]]&gt;=15%,"High","Low")</f>
        <v>Low</v>
      </c>
      <c r="T59" s="4">
        <f>IFERROR(Table1[[#This Row],[Revenue]]/Table1[[#This Row],[Orders]],0)</f>
        <v>8136</v>
      </c>
      <c r="U59" s="4">
        <f>Table1[[#This Row],[Market_Budget]]/Table1[[#This Row],[Clicks]]</f>
        <v>7.5293325917686316</v>
      </c>
      <c r="V59" s="4">
        <f>IFERROR(Table1[[#This Row],[Market_Budget]]/Table1[[#This Row],[Leads]],0)</f>
        <v>520.68230769230763</v>
      </c>
      <c r="W59" s="4">
        <f>IFERROR(Table1[[#This Row],[Market_Budget]]/Table1[[#This Row],[Orders]],0)</f>
        <v>6768.87</v>
      </c>
      <c r="X59" s="15">
        <f>(Table1[[#This Row],[Revenue]]-Table1[[#This Row],[Market_Budget]])/Table1[[#This Row],[Market_Budget]]</f>
        <v>0.20197315061450435</v>
      </c>
      <c r="Y59" s="5">
        <f>Table1[[#This Row],[Revenue]]-Table1[[#This Row],[Market_Budget]]</f>
        <v>1367.13</v>
      </c>
    </row>
    <row r="60" spans="1:25" x14ac:dyDescent="0.35">
      <c r="A60">
        <v>127823</v>
      </c>
      <c r="B60" s="1">
        <v>44233</v>
      </c>
      <c r="C60" s="1" t="str">
        <f>TEXT(Table1[[#This Row],[Date]],"dddd")</f>
        <v>Saturday</v>
      </c>
      <c r="D60" s="1" t="str">
        <f>IF(WEEKDAY(Table1[[#This Row],[Date]],2)&gt;5,"Weekend","Weekday")</f>
        <v>Weekend</v>
      </c>
      <c r="E60" t="s">
        <v>39</v>
      </c>
      <c r="F60" t="str">
        <f>_xlfn.TEXTAFTER(Table1[[#This Row],[Campaign_Name]],"_")</f>
        <v>Wide</v>
      </c>
      <c r="G60" t="str">
        <f>IF(ISNUMBER(SEARCH("Tier1",Table1[[#This Row],[Campaign_Name]])),"Tier1",IF(ISNUMBER(SEARCH("Tier2",Table1[[#This Row],[Campaign_Name]])),"Tier2","Not Applicable"))</f>
        <v>Not Applicable</v>
      </c>
      <c r="H60" t="s">
        <v>47</v>
      </c>
      <c r="I60" s="3">
        <v>22542</v>
      </c>
      <c r="J60" s="7">
        <v>478400</v>
      </c>
      <c r="K60" s="7">
        <v>2392</v>
      </c>
      <c r="L60" s="7">
        <v>48</v>
      </c>
      <c r="M60" s="7">
        <v>6</v>
      </c>
      <c r="N60" s="2">
        <v>13152</v>
      </c>
      <c r="O60" s="6">
        <f>Table1[[#This Row],[Clicks]]/Table1[[#This Row],[Impressions]]</f>
        <v>5.0000000000000001E-3</v>
      </c>
      <c r="P60" s="6">
        <f>Table1[[#This Row],[Leads]]/Table1[[#This Row],[Clicks]]</f>
        <v>2.0066889632107024E-2</v>
      </c>
      <c r="Q60" s="6" t="str">
        <f>IF(Table1[[#This Row],[Conversion1]]&gt;=2%,"High","Low")</f>
        <v>High</v>
      </c>
      <c r="R60" s="6">
        <f>IFERROR(Table1[[#This Row],[Orders]]/Table1[[#This Row],[Leads]],0)</f>
        <v>0.125</v>
      </c>
      <c r="S60" s="6" t="str">
        <f>IF(Table1[[#This Row],[Conversion2]]&gt;=15%,"High","Low")</f>
        <v>Low</v>
      </c>
      <c r="T60" s="4">
        <f>IFERROR(Table1[[#This Row],[Revenue]]/Table1[[#This Row],[Orders]],0)</f>
        <v>2192</v>
      </c>
      <c r="U60" s="4">
        <f>Table1[[#This Row],[Market_Budget]]/Table1[[#This Row],[Clicks]]</f>
        <v>9.4239130434782616</v>
      </c>
      <c r="V60" s="4">
        <f>IFERROR(Table1[[#This Row],[Market_Budget]]/Table1[[#This Row],[Leads]],0)</f>
        <v>469.625</v>
      </c>
      <c r="W60" s="4">
        <f>IFERROR(Table1[[#This Row],[Market_Budget]]/Table1[[#This Row],[Orders]],0)</f>
        <v>3757</v>
      </c>
      <c r="X60" s="15">
        <f>(Table1[[#This Row],[Revenue]]-Table1[[#This Row],[Market_Budget]])/Table1[[#This Row],[Market_Budget]]</f>
        <v>-0.41655576257652382</v>
      </c>
      <c r="Y60" s="5">
        <f>Table1[[#This Row],[Revenue]]-Table1[[#This Row],[Market_Budget]]</f>
        <v>-9390</v>
      </c>
    </row>
    <row r="61" spans="1:25" x14ac:dyDescent="0.35">
      <c r="A61">
        <v>10934</v>
      </c>
      <c r="B61" s="1">
        <v>44233</v>
      </c>
      <c r="C61" s="1" t="str">
        <f>TEXT(Table1[[#This Row],[Date]],"dddd")</f>
        <v>Saturday</v>
      </c>
      <c r="D61" s="1" t="str">
        <f>IF(WEEKDAY(Table1[[#This Row],[Date]],2)&gt;5,"Weekend","Weekday")</f>
        <v>Weekend</v>
      </c>
      <c r="E61" t="s">
        <v>40</v>
      </c>
      <c r="F61" t="str">
        <f>_xlfn.TEXTAFTER(Table1[[#This Row],[Campaign_Name]],"_")</f>
        <v>Blogger</v>
      </c>
      <c r="G61" t="str">
        <f>IF(ISNUMBER(SEARCH("Tier1",Table1[[#This Row],[Campaign_Name]])),"Tier1",IF(ISNUMBER(SEARCH("Tier2",Table1[[#This Row],[Campaign_Name]])),"Tier2","Not Applicable"))</f>
        <v>Not Applicable</v>
      </c>
      <c r="H61" t="s">
        <v>48</v>
      </c>
      <c r="I61" s="3">
        <v>80971.399999999994</v>
      </c>
      <c r="J61" s="7">
        <v>472252</v>
      </c>
      <c r="K61" s="7">
        <v>4508</v>
      </c>
      <c r="L61" s="7">
        <v>133</v>
      </c>
      <c r="M61" s="7">
        <v>27</v>
      </c>
      <c r="N61" s="2">
        <v>215487</v>
      </c>
      <c r="O61" s="6">
        <f>Table1[[#This Row],[Clicks]]/Table1[[#This Row],[Impressions]]</f>
        <v>9.5457509973488723E-3</v>
      </c>
      <c r="P61" s="6">
        <f>Table1[[#This Row],[Leads]]/Table1[[#This Row],[Clicks]]</f>
        <v>2.9503105590062112E-2</v>
      </c>
      <c r="Q61" s="6" t="str">
        <f>IF(Table1[[#This Row],[Conversion1]]&gt;=2%,"High","Low")</f>
        <v>High</v>
      </c>
      <c r="R61" s="6">
        <f>IFERROR(Table1[[#This Row],[Orders]]/Table1[[#This Row],[Leads]],0)</f>
        <v>0.20300751879699247</v>
      </c>
      <c r="S61" s="6" t="str">
        <f>IF(Table1[[#This Row],[Conversion2]]&gt;=15%,"High","Low")</f>
        <v>High</v>
      </c>
      <c r="T61" s="4">
        <f>IFERROR(Table1[[#This Row],[Revenue]]/Table1[[#This Row],[Orders]],0)</f>
        <v>7981</v>
      </c>
      <c r="U61" s="4">
        <f>Table1[[#This Row],[Market_Budget]]/Table1[[#This Row],[Clicks]]</f>
        <v>17.961712511091392</v>
      </c>
      <c r="V61" s="4">
        <f>IFERROR(Table1[[#This Row],[Market_Budget]]/Table1[[#This Row],[Leads]],0)</f>
        <v>608.80751879699244</v>
      </c>
      <c r="W61" s="4">
        <f>IFERROR(Table1[[#This Row],[Market_Budget]]/Table1[[#This Row],[Orders]],0)</f>
        <v>2998.9407407407407</v>
      </c>
      <c r="X61" s="15">
        <f>(Table1[[#This Row],[Revenue]]-Table1[[#This Row],[Market_Budget]])/Table1[[#This Row],[Market_Budget]]</f>
        <v>1.6612729926863068</v>
      </c>
      <c r="Y61" s="5">
        <f>Table1[[#This Row],[Revenue]]-Table1[[#This Row],[Market_Budget]]</f>
        <v>134515.6</v>
      </c>
    </row>
    <row r="62" spans="1:25" x14ac:dyDescent="0.35">
      <c r="A62">
        <v>9034945</v>
      </c>
      <c r="B62" s="1">
        <v>44233</v>
      </c>
      <c r="C62" s="1" t="str">
        <f>TEXT(Table1[[#This Row],[Date]],"dddd")</f>
        <v>Saturday</v>
      </c>
      <c r="D62" s="1" t="str">
        <f>IF(WEEKDAY(Table1[[#This Row],[Date]],2)&gt;5,"Weekend","Weekday")</f>
        <v>Weekend</v>
      </c>
      <c r="E62" t="s">
        <v>41</v>
      </c>
      <c r="F62" t="str">
        <f>_xlfn.TEXTAFTER(Table1[[#This Row],[Campaign_Name]],"_")</f>
        <v>Tier1</v>
      </c>
      <c r="G62" t="str">
        <f>IF(ISNUMBER(SEARCH("Tier1",Table1[[#This Row],[Campaign_Name]])),"Tier1",IF(ISNUMBER(SEARCH("Tier2",Table1[[#This Row],[Campaign_Name]])),"Tier2","Not Applicable"))</f>
        <v>Tier1</v>
      </c>
      <c r="H62" t="s">
        <v>61</v>
      </c>
      <c r="I62" s="3">
        <v>3661.53</v>
      </c>
      <c r="J62" s="7">
        <v>425467</v>
      </c>
      <c r="K62" s="7">
        <v>2695</v>
      </c>
      <c r="L62" s="7">
        <v>14</v>
      </c>
      <c r="M62" s="7">
        <v>1</v>
      </c>
      <c r="N62" s="2">
        <v>5958</v>
      </c>
      <c r="O62" s="6">
        <f>Table1[[#This Row],[Clicks]]/Table1[[#This Row],[Impressions]]</f>
        <v>6.3342162846942301E-3</v>
      </c>
      <c r="P62" s="6">
        <f>Table1[[#This Row],[Leads]]/Table1[[#This Row],[Clicks]]</f>
        <v>5.1948051948051948E-3</v>
      </c>
      <c r="Q62" s="6" t="str">
        <f>IF(Table1[[#This Row],[Conversion1]]&gt;=2%,"High","Low")</f>
        <v>Low</v>
      </c>
      <c r="R62" s="6">
        <f>IFERROR(Table1[[#This Row],[Orders]]/Table1[[#This Row],[Leads]],0)</f>
        <v>7.1428571428571425E-2</v>
      </c>
      <c r="S62" s="6" t="str">
        <f>IF(Table1[[#This Row],[Conversion2]]&gt;=15%,"High","Low")</f>
        <v>Low</v>
      </c>
      <c r="T62" s="4">
        <f>IFERROR(Table1[[#This Row],[Revenue]]/Table1[[#This Row],[Orders]],0)</f>
        <v>5958</v>
      </c>
      <c r="U62" s="4">
        <f>Table1[[#This Row],[Market_Budget]]/Table1[[#This Row],[Clicks]]</f>
        <v>1.3586382189239332</v>
      </c>
      <c r="V62" s="4">
        <f>IFERROR(Table1[[#This Row],[Market_Budget]]/Table1[[#This Row],[Leads]],0)</f>
        <v>261.53785714285715</v>
      </c>
      <c r="W62" s="4">
        <f>IFERROR(Table1[[#This Row],[Market_Budget]]/Table1[[#This Row],[Orders]],0)</f>
        <v>3661.53</v>
      </c>
      <c r="X62" s="15">
        <f>(Table1[[#This Row],[Revenue]]-Table1[[#This Row],[Market_Budget]])/Table1[[#This Row],[Market_Budget]]</f>
        <v>0.62718863425944882</v>
      </c>
      <c r="Y62" s="5">
        <f>Table1[[#This Row],[Revenue]]-Table1[[#This Row],[Market_Budget]]</f>
        <v>2296.4699999999998</v>
      </c>
    </row>
    <row r="63" spans="1:25" x14ac:dyDescent="0.35">
      <c r="A63">
        <v>983498</v>
      </c>
      <c r="B63" s="1">
        <v>44233</v>
      </c>
      <c r="C63" s="1" t="str">
        <f>TEXT(Table1[[#This Row],[Date]],"dddd")</f>
        <v>Saturday</v>
      </c>
      <c r="D63" s="1" t="str">
        <f>IF(WEEKDAY(Table1[[#This Row],[Date]],2)&gt;5,"Weekend","Weekday")</f>
        <v>Weekend</v>
      </c>
      <c r="E63" t="s">
        <v>42</v>
      </c>
      <c r="F63" t="str">
        <f>_xlfn.TEXTAFTER(Table1[[#This Row],[Campaign_Name]],"_")</f>
        <v>Tier2</v>
      </c>
      <c r="G63" t="str">
        <f>IF(ISNUMBER(SEARCH("Tier1",Table1[[#This Row],[Campaign_Name]])),"Tier1",IF(ISNUMBER(SEARCH("Tier2",Table1[[#This Row],[Campaign_Name]])),"Tier2","Not Applicable"))</f>
        <v>Tier2</v>
      </c>
      <c r="H63" t="s">
        <v>61</v>
      </c>
      <c r="I63" s="3">
        <v>12183.4</v>
      </c>
      <c r="J63" s="7">
        <v>1589341</v>
      </c>
      <c r="K63" s="7">
        <v>5092</v>
      </c>
      <c r="L63" s="7">
        <v>102</v>
      </c>
      <c r="M63" s="7">
        <v>5</v>
      </c>
      <c r="N63" s="2">
        <v>12295</v>
      </c>
      <c r="O63" s="6">
        <f>Table1[[#This Row],[Clicks]]/Table1[[#This Row],[Impressions]]</f>
        <v>3.2038436056201912E-3</v>
      </c>
      <c r="P63" s="6">
        <f>Table1[[#This Row],[Leads]]/Table1[[#This Row],[Clicks]]</f>
        <v>2.0031421838177535E-2</v>
      </c>
      <c r="Q63" s="6" t="str">
        <f>IF(Table1[[#This Row],[Conversion1]]&gt;=2%,"High","Low")</f>
        <v>High</v>
      </c>
      <c r="R63" s="6">
        <f>IFERROR(Table1[[#This Row],[Orders]]/Table1[[#This Row],[Leads]],0)</f>
        <v>4.9019607843137254E-2</v>
      </c>
      <c r="S63" s="6" t="str">
        <f>IF(Table1[[#This Row],[Conversion2]]&gt;=15%,"High","Low")</f>
        <v>Low</v>
      </c>
      <c r="T63" s="4">
        <f>IFERROR(Table1[[#This Row],[Revenue]]/Table1[[#This Row],[Orders]],0)</f>
        <v>2459</v>
      </c>
      <c r="U63" s="4">
        <f>Table1[[#This Row],[Market_Budget]]/Table1[[#This Row],[Clicks]]</f>
        <v>2.3926551453260014</v>
      </c>
      <c r="V63" s="4">
        <f>IFERROR(Table1[[#This Row],[Market_Budget]]/Table1[[#This Row],[Leads]],0)</f>
        <v>119.44509803921568</v>
      </c>
      <c r="W63" s="4">
        <f>IFERROR(Table1[[#This Row],[Market_Budget]]/Table1[[#This Row],[Orders]],0)</f>
        <v>2436.6799999999998</v>
      </c>
      <c r="X63" s="15">
        <f>(Table1[[#This Row],[Revenue]]-Table1[[#This Row],[Market_Budget]])/Table1[[#This Row],[Market_Budget]]</f>
        <v>9.160004596418107E-3</v>
      </c>
      <c r="Y63" s="5">
        <f>Table1[[#This Row],[Revenue]]-Table1[[#This Row],[Market_Budget]]</f>
        <v>111.60000000000036</v>
      </c>
    </row>
    <row r="64" spans="1:25" x14ac:dyDescent="0.35">
      <c r="A64">
        <v>4387490</v>
      </c>
      <c r="B64" s="1">
        <v>44233</v>
      </c>
      <c r="C64" s="1" t="str">
        <f>TEXT(Table1[[#This Row],[Date]],"dddd")</f>
        <v>Saturday</v>
      </c>
      <c r="D64" s="1" t="str">
        <f>IF(WEEKDAY(Table1[[#This Row],[Date]],2)&gt;5,"Weekend","Weekday")</f>
        <v>Weekend</v>
      </c>
      <c r="E64" t="s">
        <v>43</v>
      </c>
      <c r="F64" t="str">
        <f>_xlfn.TEXTAFTER(Table1[[#This Row],[Campaign_Name]],"_")</f>
        <v>Retargeting</v>
      </c>
      <c r="G64" t="str">
        <f>IF(ISNUMBER(SEARCH("Tier1",Table1[[#This Row],[Campaign_Name]])),"Tier1",IF(ISNUMBER(SEARCH("Tier2",Table1[[#This Row],[Campaign_Name]])),"Tier2","Not Applicable"))</f>
        <v>Not Applicable</v>
      </c>
      <c r="H64" t="s">
        <v>61</v>
      </c>
      <c r="I64" s="3">
        <v>1420.15</v>
      </c>
      <c r="J64" s="7">
        <v>10200</v>
      </c>
      <c r="K64" s="7">
        <v>306</v>
      </c>
      <c r="L64" s="7">
        <v>6</v>
      </c>
      <c r="M64" s="7">
        <v>1</v>
      </c>
      <c r="N64" s="2">
        <v>5492</v>
      </c>
      <c r="O64" s="6">
        <f>Table1[[#This Row],[Clicks]]/Table1[[#This Row],[Impressions]]</f>
        <v>0.03</v>
      </c>
      <c r="P64" s="6">
        <f>Table1[[#This Row],[Leads]]/Table1[[#This Row],[Clicks]]</f>
        <v>1.9607843137254902E-2</v>
      </c>
      <c r="Q64" s="6" t="str">
        <f>IF(Table1[[#This Row],[Conversion1]]&gt;=2%,"High","Low")</f>
        <v>Low</v>
      </c>
      <c r="R64" s="6">
        <f>IFERROR(Table1[[#This Row],[Orders]]/Table1[[#This Row],[Leads]],0)</f>
        <v>0.16666666666666666</v>
      </c>
      <c r="S64" s="6" t="str">
        <f>IF(Table1[[#This Row],[Conversion2]]&gt;=15%,"High","Low")</f>
        <v>High</v>
      </c>
      <c r="T64" s="4">
        <f>IFERROR(Table1[[#This Row],[Revenue]]/Table1[[#This Row],[Orders]],0)</f>
        <v>5492</v>
      </c>
      <c r="U64" s="4">
        <f>Table1[[#This Row],[Market_Budget]]/Table1[[#This Row],[Clicks]]</f>
        <v>4.6410130718954248</v>
      </c>
      <c r="V64" s="4">
        <f>IFERROR(Table1[[#This Row],[Market_Budget]]/Table1[[#This Row],[Leads]],0)</f>
        <v>236.69166666666669</v>
      </c>
      <c r="W64" s="4">
        <f>IFERROR(Table1[[#This Row],[Market_Budget]]/Table1[[#This Row],[Orders]],0)</f>
        <v>1420.15</v>
      </c>
      <c r="X64" s="15">
        <f>(Table1[[#This Row],[Revenue]]-Table1[[#This Row],[Market_Budget]])/Table1[[#This Row],[Market_Budget]]</f>
        <v>2.8671971270640424</v>
      </c>
      <c r="Y64" s="5">
        <f>Table1[[#This Row],[Revenue]]-Table1[[#This Row],[Market_Budget]]</f>
        <v>4071.85</v>
      </c>
    </row>
    <row r="65" spans="1:25" x14ac:dyDescent="0.35">
      <c r="A65">
        <v>544756</v>
      </c>
      <c r="B65" s="1">
        <v>44233</v>
      </c>
      <c r="C65" s="1" t="str">
        <f>TEXT(Table1[[#This Row],[Date]],"dddd")</f>
        <v>Saturday</v>
      </c>
      <c r="D65" s="1" t="str">
        <f>IF(WEEKDAY(Table1[[#This Row],[Date]],2)&gt;5,"Weekend","Weekday")</f>
        <v>Weekend</v>
      </c>
      <c r="E65" t="s">
        <v>44</v>
      </c>
      <c r="F65" t="str">
        <f>_xlfn.TEXTAFTER(Table1[[#This Row],[Campaign_Name]],"_")</f>
        <v>Lal</v>
      </c>
      <c r="G65" t="str">
        <f>IF(ISNUMBER(SEARCH("Tier1",Table1[[#This Row],[Campaign_Name]])),"Tier1",IF(ISNUMBER(SEARCH("Tier2",Table1[[#This Row],[Campaign_Name]])),"Tier2","Not Applicable"))</f>
        <v>Not Applicable</v>
      </c>
      <c r="H65" t="s">
        <v>61</v>
      </c>
      <c r="I65" s="3">
        <v>29281</v>
      </c>
      <c r="J65" s="7">
        <v>119700</v>
      </c>
      <c r="K65" s="7">
        <v>1197</v>
      </c>
      <c r="L65" s="7">
        <v>24</v>
      </c>
      <c r="M65" s="7">
        <v>4</v>
      </c>
      <c r="N65" s="2">
        <v>6428</v>
      </c>
      <c r="O65" s="6">
        <f>Table1[[#This Row],[Clicks]]/Table1[[#This Row],[Impressions]]</f>
        <v>0.01</v>
      </c>
      <c r="P65" s="6">
        <f>Table1[[#This Row],[Leads]]/Table1[[#This Row],[Clicks]]</f>
        <v>2.0050125313283207E-2</v>
      </c>
      <c r="Q65" s="6" t="str">
        <f>IF(Table1[[#This Row],[Conversion1]]&gt;=2%,"High","Low")</f>
        <v>High</v>
      </c>
      <c r="R65" s="6">
        <f>IFERROR(Table1[[#This Row],[Orders]]/Table1[[#This Row],[Leads]],0)</f>
        <v>0.16666666666666666</v>
      </c>
      <c r="S65" s="6" t="str">
        <f>IF(Table1[[#This Row],[Conversion2]]&gt;=15%,"High","Low")</f>
        <v>High</v>
      </c>
      <c r="T65" s="4">
        <f>IFERROR(Table1[[#This Row],[Revenue]]/Table1[[#This Row],[Orders]],0)</f>
        <v>1607</v>
      </c>
      <c r="U65" s="4">
        <f>Table1[[#This Row],[Market_Budget]]/Table1[[#This Row],[Clicks]]</f>
        <v>24.461988304093566</v>
      </c>
      <c r="V65" s="4">
        <f>IFERROR(Table1[[#This Row],[Market_Budget]]/Table1[[#This Row],[Leads]],0)</f>
        <v>1220.0416666666667</v>
      </c>
      <c r="W65" s="4">
        <f>IFERROR(Table1[[#This Row],[Market_Budget]]/Table1[[#This Row],[Orders]],0)</f>
        <v>7320.25</v>
      </c>
      <c r="X65" s="15">
        <f>(Table1[[#This Row],[Revenue]]-Table1[[#This Row],[Market_Budget]])/Table1[[#This Row],[Market_Budget]]</f>
        <v>-0.78047197841603766</v>
      </c>
      <c r="Y65" s="5">
        <f>Table1[[#This Row],[Revenue]]-Table1[[#This Row],[Market_Budget]]</f>
        <v>-22853</v>
      </c>
    </row>
    <row r="66" spans="1:25" x14ac:dyDescent="0.35">
      <c r="A66">
        <v>374754</v>
      </c>
      <c r="B66" s="1">
        <v>44233</v>
      </c>
      <c r="C66" s="1" t="str">
        <f>TEXT(Table1[[#This Row],[Date]],"dddd")</f>
        <v>Saturday</v>
      </c>
      <c r="D66" s="1" t="str">
        <f>IF(WEEKDAY(Table1[[#This Row],[Date]],2)&gt;5,"Weekend","Weekday")</f>
        <v>Weekend</v>
      </c>
      <c r="E66" t="s">
        <v>45</v>
      </c>
      <c r="F66" t="str">
        <f>_xlfn.TEXTAFTER(Table1[[#This Row],[Campaign_Name]],"_")</f>
        <v>Blogger</v>
      </c>
      <c r="G66" t="str">
        <f>IF(ISNUMBER(SEARCH("Tier1",Table1[[#This Row],[Campaign_Name]])),"Tier1",IF(ISNUMBER(SEARCH("Tier2",Table1[[#This Row],[Campaign_Name]])),"Tier2","Not Applicable"))</f>
        <v>Not Applicable</v>
      </c>
      <c r="H66" t="s">
        <v>48</v>
      </c>
      <c r="I66" s="3">
        <v>8289.2099999999991</v>
      </c>
      <c r="J66" s="7">
        <v>300700</v>
      </c>
      <c r="K66" s="7">
        <v>3007</v>
      </c>
      <c r="L66" s="7">
        <v>20</v>
      </c>
      <c r="M66" s="7">
        <v>2</v>
      </c>
      <c r="N66" s="2">
        <v>9450</v>
      </c>
      <c r="O66" s="6">
        <f>Table1[[#This Row],[Clicks]]/Table1[[#This Row],[Impressions]]</f>
        <v>0.01</v>
      </c>
      <c r="P66" s="6">
        <f>Table1[[#This Row],[Leads]]/Table1[[#This Row],[Clicks]]</f>
        <v>6.6511473229132027E-3</v>
      </c>
      <c r="Q66" s="6" t="str">
        <f>IF(Table1[[#This Row],[Conversion1]]&gt;=2%,"High","Low")</f>
        <v>Low</v>
      </c>
      <c r="R66" s="6">
        <f>IFERROR(Table1[[#This Row],[Orders]]/Table1[[#This Row],[Leads]],0)</f>
        <v>0.1</v>
      </c>
      <c r="S66" s="6" t="str">
        <f>IF(Table1[[#This Row],[Conversion2]]&gt;=15%,"High","Low")</f>
        <v>Low</v>
      </c>
      <c r="T66" s="4">
        <f>IFERROR(Table1[[#This Row],[Revenue]]/Table1[[#This Row],[Orders]],0)</f>
        <v>4725</v>
      </c>
      <c r="U66" s="4">
        <f>Table1[[#This Row],[Market_Budget]]/Table1[[#This Row],[Clicks]]</f>
        <v>2.7566378450282669</v>
      </c>
      <c r="V66" s="4">
        <f>IFERROR(Table1[[#This Row],[Market_Budget]]/Table1[[#This Row],[Leads]],0)</f>
        <v>414.46049999999997</v>
      </c>
      <c r="W66" s="4">
        <f>IFERROR(Table1[[#This Row],[Market_Budget]]/Table1[[#This Row],[Orders]],0)</f>
        <v>4144.6049999999996</v>
      </c>
      <c r="X66" s="15">
        <f>(Table1[[#This Row],[Revenue]]-Table1[[#This Row],[Market_Budget]])/Table1[[#This Row],[Market_Budget]]</f>
        <v>0.14003626401068389</v>
      </c>
      <c r="Y66" s="5">
        <f>Table1[[#This Row],[Revenue]]-Table1[[#This Row],[Market_Budget]]</f>
        <v>1160.7900000000009</v>
      </c>
    </row>
    <row r="67" spans="1:25" x14ac:dyDescent="0.35">
      <c r="A67">
        <v>39889</v>
      </c>
      <c r="B67" s="1">
        <v>44233</v>
      </c>
      <c r="C67" s="1" t="str">
        <f>TEXT(Table1[[#This Row],[Date]],"dddd")</f>
        <v>Saturday</v>
      </c>
      <c r="D67" s="1" t="str">
        <f>IF(WEEKDAY(Table1[[#This Row],[Date]],2)&gt;5,"Weekend","Weekday")</f>
        <v>Weekend</v>
      </c>
      <c r="E67" t="s">
        <v>46</v>
      </c>
      <c r="F67" t="str">
        <f>_xlfn.TEXTAFTER(Table1[[#This Row],[Campaign_Name]],"_")</f>
        <v>Partner</v>
      </c>
      <c r="G67" t="str">
        <f>IF(ISNUMBER(SEARCH("Tier1",Table1[[#This Row],[Campaign_Name]])),"Tier1",IF(ISNUMBER(SEARCH("Tier2",Table1[[#This Row],[Campaign_Name]])),"Tier2","Not Applicable"))</f>
        <v>Not Applicable</v>
      </c>
      <c r="H67" t="s">
        <v>62</v>
      </c>
      <c r="I67" s="3">
        <v>38185.199999999997</v>
      </c>
      <c r="J67" s="7">
        <v>42070000</v>
      </c>
      <c r="K67" s="7">
        <v>4207</v>
      </c>
      <c r="L67" s="7">
        <v>84</v>
      </c>
      <c r="M67" s="7">
        <v>10</v>
      </c>
      <c r="N67" s="2">
        <v>48820</v>
      </c>
      <c r="O67" s="6">
        <f>Table1[[#This Row],[Clicks]]/Table1[[#This Row],[Impressions]]</f>
        <v>1E-4</v>
      </c>
      <c r="P67" s="6">
        <f>Table1[[#This Row],[Leads]]/Table1[[#This Row],[Clicks]]</f>
        <v>1.9966722129783693E-2</v>
      </c>
      <c r="Q67" s="6" t="str">
        <f>IF(Table1[[#This Row],[Conversion1]]&gt;=2%,"High","Low")</f>
        <v>Low</v>
      </c>
      <c r="R67" s="6">
        <f>IFERROR(Table1[[#This Row],[Orders]]/Table1[[#This Row],[Leads]],0)</f>
        <v>0.11904761904761904</v>
      </c>
      <c r="S67" s="6" t="str">
        <f>IF(Table1[[#This Row],[Conversion2]]&gt;=15%,"High","Low")</f>
        <v>Low</v>
      </c>
      <c r="T67" s="4">
        <f>IFERROR(Table1[[#This Row],[Revenue]]/Table1[[#This Row],[Orders]],0)</f>
        <v>4882</v>
      </c>
      <c r="U67" s="4">
        <f>Table1[[#This Row],[Market_Budget]]/Table1[[#This Row],[Clicks]]</f>
        <v>9.0765866413120975</v>
      </c>
      <c r="V67" s="4">
        <f>IFERROR(Table1[[#This Row],[Market_Budget]]/Table1[[#This Row],[Leads]],0)</f>
        <v>454.58571428571423</v>
      </c>
      <c r="W67" s="4">
        <f>IFERROR(Table1[[#This Row],[Market_Budget]]/Table1[[#This Row],[Orders]],0)</f>
        <v>3818.5199999999995</v>
      </c>
      <c r="X67" s="15">
        <f>(Table1[[#This Row],[Revenue]]-Table1[[#This Row],[Market_Budget]])/Table1[[#This Row],[Market_Budget]]</f>
        <v>0.27850580853314905</v>
      </c>
      <c r="Y67" s="5">
        <f>Table1[[#This Row],[Revenue]]-Table1[[#This Row],[Market_Budget]]</f>
        <v>10634.800000000003</v>
      </c>
    </row>
    <row r="68" spans="1:25" x14ac:dyDescent="0.35">
      <c r="A68">
        <v>349043</v>
      </c>
      <c r="B68" s="1">
        <v>44234</v>
      </c>
      <c r="C68" s="1" t="str">
        <f>TEXT(Table1[[#This Row],[Date]],"dddd")</f>
        <v>Sunday</v>
      </c>
      <c r="D68" s="1" t="str">
        <f>IF(WEEKDAY(Table1[[#This Row],[Date]],2)&gt;5,"Weekend","Weekday")</f>
        <v>Weekend</v>
      </c>
      <c r="E68" t="s">
        <v>36</v>
      </c>
      <c r="F68" t="str">
        <f>_xlfn.TEXTAFTER(Table1[[#This Row],[Campaign_Name]],"_")</f>
        <v>Tier1</v>
      </c>
      <c r="G68" t="str">
        <f>IF(ISNUMBER(SEARCH("Tier1",Table1[[#This Row],[Campaign_Name]])),"Tier1",IF(ISNUMBER(SEARCH("Tier2",Table1[[#This Row],[Campaign_Name]])),"Tier2","Not Applicable"))</f>
        <v>Tier1</v>
      </c>
      <c r="H68" t="s">
        <v>61</v>
      </c>
      <c r="I68" s="3">
        <v>27314.400000000001</v>
      </c>
      <c r="J68" s="7">
        <v>478000</v>
      </c>
      <c r="K68" s="7">
        <v>2390</v>
      </c>
      <c r="L68" s="7">
        <v>45</v>
      </c>
      <c r="M68" s="7">
        <v>5</v>
      </c>
      <c r="N68" s="2">
        <v>24905</v>
      </c>
      <c r="O68" s="6">
        <f>Table1[[#This Row],[Clicks]]/Table1[[#This Row],[Impressions]]</f>
        <v>5.0000000000000001E-3</v>
      </c>
      <c r="P68" s="6">
        <f>Table1[[#This Row],[Leads]]/Table1[[#This Row],[Clicks]]</f>
        <v>1.8828451882845189E-2</v>
      </c>
      <c r="Q68" s="6" t="str">
        <f>IF(Table1[[#This Row],[Conversion1]]&gt;=2%,"High","Low")</f>
        <v>Low</v>
      </c>
      <c r="R68" s="6">
        <f>IFERROR(Table1[[#This Row],[Orders]]/Table1[[#This Row],[Leads]],0)</f>
        <v>0.1111111111111111</v>
      </c>
      <c r="S68" s="6" t="str">
        <f>IF(Table1[[#This Row],[Conversion2]]&gt;=15%,"High","Low")</f>
        <v>Low</v>
      </c>
      <c r="T68" s="4">
        <f>IFERROR(Table1[[#This Row],[Revenue]]/Table1[[#This Row],[Orders]],0)</f>
        <v>4981</v>
      </c>
      <c r="U68" s="4">
        <f>Table1[[#This Row],[Market_Budget]]/Table1[[#This Row],[Clicks]]</f>
        <v>11.428619246861926</v>
      </c>
      <c r="V68" s="4">
        <f>IFERROR(Table1[[#This Row],[Market_Budget]]/Table1[[#This Row],[Leads]],0)</f>
        <v>606.98666666666668</v>
      </c>
      <c r="W68" s="4">
        <f>IFERROR(Table1[[#This Row],[Market_Budget]]/Table1[[#This Row],[Orders]],0)</f>
        <v>5462.88</v>
      </c>
      <c r="X68" s="15">
        <f>(Table1[[#This Row],[Revenue]]-Table1[[#This Row],[Market_Budget]])/Table1[[#This Row],[Market_Budget]]</f>
        <v>-8.8209881967021106E-2</v>
      </c>
      <c r="Y68" s="5">
        <f>Table1[[#This Row],[Revenue]]-Table1[[#This Row],[Market_Budget]]</f>
        <v>-2409.4000000000015</v>
      </c>
    </row>
    <row r="69" spans="1:25" x14ac:dyDescent="0.35">
      <c r="A69">
        <v>348934</v>
      </c>
      <c r="B69" s="1">
        <v>44234</v>
      </c>
      <c r="C69" s="1" t="str">
        <f>TEXT(Table1[[#This Row],[Date]],"dddd")</f>
        <v>Sunday</v>
      </c>
      <c r="D69" s="1" t="str">
        <f>IF(WEEKDAY(Table1[[#This Row],[Date]],2)&gt;5,"Weekend","Weekday")</f>
        <v>Weekend</v>
      </c>
      <c r="E69" t="s">
        <v>37</v>
      </c>
      <c r="F69" t="str">
        <f>_xlfn.TEXTAFTER(Table1[[#This Row],[Campaign_Name]],"_")</f>
        <v>Tier2</v>
      </c>
      <c r="G69" t="str">
        <f>IF(ISNUMBER(SEARCH("Tier1",Table1[[#This Row],[Campaign_Name]])),"Tier1",IF(ISNUMBER(SEARCH("Tier2",Table1[[#This Row],[Campaign_Name]])),"Tier2","Not Applicable"))</f>
        <v>Tier2</v>
      </c>
      <c r="H69" t="s">
        <v>61</v>
      </c>
      <c r="I69" s="3">
        <v>38485.599999999999</v>
      </c>
      <c r="J69" s="7">
        <v>659000</v>
      </c>
      <c r="K69" s="7">
        <v>3295</v>
      </c>
      <c r="L69" s="7">
        <v>66</v>
      </c>
      <c r="M69" s="7">
        <v>5</v>
      </c>
      <c r="N69" s="2">
        <v>23735</v>
      </c>
      <c r="O69" s="6">
        <f>Table1[[#This Row],[Clicks]]/Table1[[#This Row],[Impressions]]</f>
        <v>5.0000000000000001E-3</v>
      </c>
      <c r="P69" s="6">
        <f>Table1[[#This Row],[Leads]]/Table1[[#This Row],[Clicks]]</f>
        <v>2.0030349013657057E-2</v>
      </c>
      <c r="Q69" s="6" t="str">
        <f>IF(Table1[[#This Row],[Conversion1]]&gt;=2%,"High","Low")</f>
        <v>High</v>
      </c>
      <c r="R69" s="6">
        <f>IFERROR(Table1[[#This Row],[Orders]]/Table1[[#This Row],[Leads]],0)</f>
        <v>7.575757575757576E-2</v>
      </c>
      <c r="S69" s="6" t="str">
        <f>IF(Table1[[#This Row],[Conversion2]]&gt;=15%,"High","Low")</f>
        <v>Low</v>
      </c>
      <c r="T69" s="4">
        <f>IFERROR(Table1[[#This Row],[Revenue]]/Table1[[#This Row],[Orders]],0)</f>
        <v>4747</v>
      </c>
      <c r="U69" s="4">
        <f>Table1[[#This Row],[Market_Budget]]/Table1[[#This Row],[Clicks]]</f>
        <v>11.68</v>
      </c>
      <c r="V69" s="4">
        <f>IFERROR(Table1[[#This Row],[Market_Budget]]/Table1[[#This Row],[Leads]],0)</f>
        <v>583.11515151515152</v>
      </c>
      <c r="W69" s="4">
        <f>IFERROR(Table1[[#This Row],[Market_Budget]]/Table1[[#This Row],[Orders]],0)</f>
        <v>7697.12</v>
      </c>
      <c r="X69" s="15">
        <f>(Table1[[#This Row],[Revenue]]-Table1[[#This Row],[Market_Budget]])/Table1[[#This Row],[Market_Budget]]</f>
        <v>-0.38327582264535304</v>
      </c>
      <c r="Y69" s="5">
        <f>Table1[[#This Row],[Revenue]]-Table1[[#This Row],[Market_Budget]]</f>
        <v>-14750.599999999999</v>
      </c>
    </row>
    <row r="70" spans="1:25" x14ac:dyDescent="0.35">
      <c r="A70">
        <v>89459845</v>
      </c>
      <c r="B70" s="1">
        <v>44234</v>
      </c>
      <c r="C70" s="1" t="str">
        <f>TEXT(Table1[[#This Row],[Date]],"dddd")</f>
        <v>Sunday</v>
      </c>
      <c r="D70" s="1" t="str">
        <f>IF(WEEKDAY(Table1[[#This Row],[Date]],2)&gt;5,"Weekend","Weekday")</f>
        <v>Weekend</v>
      </c>
      <c r="E70" t="s">
        <v>38</v>
      </c>
      <c r="F70" t="str">
        <f>_xlfn.TEXTAFTER(Table1[[#This Row],[Campaign_Name]],"_")</f>
        <v>Hot</v>
      </c>
      <c r="G70" t="str">
        <f>IF(ISNUMBER(SEARCH("Tier1",Table1[[#This Row],[Campaign_Name]])),"Tier1",IF(ISNUMBER(SEARCH("Tier2",Table1[[#This Row],[Campaign_Name]])),"Tier2","Not Applicable"))</f>
        <v>Not Applicable</v>
      </c>
      <c r="H70" t="s">
        <v>47</v>
      </c>
      <c r="I70" s="3">
        <v>6426</v>
      </c>
      <c r="J70" s="7">
        <v>44650</v>
      </c>
      <c r="K70" s="7">
        <v>893</v>
      </c>
      <c r="L70" s="7">
        <v>18</v>
      </c>
      <c r="M70" s="7">
        <v>2</v>
      </c>
      <c r="N70" s="2">
        <v>14152</v>
      </c>
      <c r="O70" s="6">
        <f>Table1[[#This Row],[Clicks]]/Table1[[#This Row],[Impressions]]</f>
        <v>0.02</v>
      </c>
      <c r="P70" s="6">
        <f>Table1[[#This Row],[Leads]]/Table1[[#This Row],[Clicks]]</f>
        <v>2.0156774916013438E-2</v>
      </c>
      <c r="Q70" s="6" t="str">
        <f>IF(Table1[[#This Row],[Conversion1]]&gt;=2%,"High","Low")</f>
        <v>High</v>
      </c>
      <c r="R70" s="6">
        <f>IFERROR(Table1[[#This Row],[Orders]]/Table1[[#This Row],[Leads]],0)</f>
        <v>0.1111111111111111</v>
      </c>
      <c r="S70" s="6" t="str">
        <f>IF(Table1[[#This Row],[Conversion2]]&gt;=15%,"High","Low")</f>
        <v>Low</v>
      </c>
      <c r="T70" s="4">
        <f>IFERROR(Table1[[#This Row],[Revenue]]/Table1[[#This Row],[Orders]],0)</f>
        <v>7076</v>
      </c>
      <c r="U70" s="4">
        <f>Table1[[#This Row],[Market_Budget]]/Table1[[#This Row],[Clicks]]</f>
        <v>7.195968645016797</v>
      </c>
      <c r="V70" s="4">
        <f>IFERROR(Table1[[#This Row],[Market_Budget]]/Table1[[#This Row],[Leads]],0)</f>
        <v>357</v>
      </c>
      <c r="W70" s="4">
        <f>IFERROR(Table1[[#This Row],[Market_Budget]]/Table1[[#This Row],[Orders]],0)</f>
        <v>3213</v>
      </c>
      <c r="X70" s="15">
        <f>(Table1[[#This Row],[Revenue]]-Table1[[#This Row],[Market_Budget]])/Table1[[#This Row],[Market_Budget]]</f>
        <v>1.2023031434796141</v>
      </c>
      <c r="Y70" s="5">
        <f>Table1[[#This Row],[Revenue]]-Table1[[#This Row],[Market_Budget]]</f>
        <v>7726</v>
      </c>
    </row>
    <row r="71" spans="1:25" x14ac:dyDescent="0.35">
      <c r="A71">
        <v>127823</v>
      </c>
      <c r="B71" s="1">
        <v>44234</v>
      </c>
      <c r="C71" s="1" t="str">
        <f>TEXT(Table1[[#This Row],[Date]],"dddd")</f>
        <v>Sunday</v>
      </c>
      <c r="D71" s="1" t="str">
        <f>IF(WEEKDAY(Table1[[#This Row],[Date]],2)&gt;5,"Weekend","Weekday")</f>
        <v>Weekend</v>
      </c>
      <c r="E71" t="s">
        <v>39</v>
      </c>
      <c r="F71" t="str">
        <f>_xlfn.TEXTAFTER(Table1[[#This Row],[Campaign_Name]],"_")</f>
        <v>Wide</v>
      </c>
      <c r="G71" t="str">
        <f>IF(ISNUMBER(SEARCH("Tier1",Table1[[#This Row],[Campaign_Name]])),"Tier1",IF(ISNUMBER(SEARCH("Tier2",Table1[[#This Row],[Campaign_Name]])),"Tier2","Not Applicable"))</f>
        <v>Not Applicable</v>
      </c>
      <c r="H71" t="s">
        <v>47</v>
      </c>
      <c r="I71" s="3">
        <v>18102.099999999999</v>
      </c>
      <c r="J71" s="7">
        <v>1137473</v>
      </c>
      <c r="K71" s="7">
        <v>2404</v>
      </c>
      <c r="L71" s="7">
        <v>48</v>
      </c>
      <c r="M71" s="7">
        <v>5</v>
      </c>
      <c r="N71" s="2">
        <v>17845</v>
      </c>
      <c r="O71" s="6">
        <f>Table1[[#This Row],[Clicks]]/Table1[[#This Row],[Impressions]]</f>
        <v>2.1134567589736197E-3</v>
      </c>
      <c r="P71" s="6">
        <f>Table1[[#This Row],[Leads]]/Table1[[#This Row],[Clicks]]</f>
        <v>1.9966722129783693E-2</v>
      </c>
      <c r="Q71" s="6" t="str">
        <f>IF(Table1[[#This Row],[Conversion1]]&gt;=2%,"High","Low")</f>
        <v>Low</v>
      </c>
      <c r="R71" s="6">
        <f>IFERROR(Table1[[#This Row],[Orders]]/Table1[[#This Row],[Leads]],0)</f>
        <v>0.10416666666666667</v>
      </c>
      <c r="S71" s="6" t="str">
        <f>IF(Table1[[#This Row],[Conversion2]]&gt;=15%,"High","Low")</f>
        <v>Low</v>
      </c>
      <c r="T71" s="4">
        <f>IFERROR(Table1[[#This Row],[Revenue]]/Table1[[#This Row],[Orders]],0)</f>
        <v>3569</v>
      </c>
      <c r="U71" s="4">
        <f>Table1[[#This Row],[Market_Budget]]/Table1[[#This Row],[Clicks]]</f>
        <v>7.5299916805324454</v>
      </c>
      <c r="V71" s="4">
        <f>IFERROR(Table1[[#This Row],[Market_Budget]]/Table1[[#This Row],[Leads]],0)</f>
        <v>377.1270833333333</v>
      </c>
      <c r="W71" s="4">
        <f>IFERROR(Table1[[#This Row],[Market_Budget]]/Table1[[#This Row],[Orders]],0)</f>
        <v>3620.4199999999996</v>
      </c>
      <c r="X71" s="15">
        <f>(Table1[[#This Row],[Revenue]]-Table1[[#This Row],[Market_Budget]])/Table1[[#This Row],[Market_Budget]]</f>
        <v>-1.4202772054070995E-2</v>
      </c>
      <c r="Y71" s="5">
        <f>Table1[[#This Row],[Revenue]]-Table1[[#This Row],[Market_Budget]]</f>
        <v>-257.09999999999854</v>
      </c>
    </row>
    <row r="72" spans="1:25" x14ac:dyDescent="0.35">
      <c r="A72">
        <v>10934</v>
      </c>
      <c r="B72" s="1">
        <v>44234</v>
      </c>
      <c r="C72" s="1" t="str">
        <f>TEXT(Table1[[#This Row],[Date]],"dddd")</f>
        <v>Sunday</v>
      </c>
      <c r="D72" s="1" t="str">
        <f>IF(WEEKDAY(Table1[[#This Row],[Date]],2)&gt;5,"Weekend","Weekday")</f>
        <v>Weekend</v>
      </c>
      <c r="E72" t="s">
        <v>40</v>
      </c>
      <c r="F72" t="str">
        <f>_xlfn.TEXTAFTER(Table1[[#This Row],[Campaign_Name]],"_")</f>
        <v>Blogger</v>
      </c>
      <c r="G72" t="str">
        <f>IF(ISNUMBER(SEARCH("Tier1",Table1[[#This Row],[Campaign_Name]])),"Tier1",IF(ISNUMBER(SEARCH("Tier2",Table1[[#This Row],[Campaign_Name]])),"Tier2","Not Applicable"))</f>
        <v>Not Applicable</v>
      </c>
      <c r="H72" t="s">
        <v>48</v>
      </c>
      <c r="I72" s="3">
        <v>31680.1</v>
      </c>
      <c r="J72" s="7">
        <v>694624</v>
      </c>
      <c r="K72" s="7">
        <v>4505</v>
      </c>
      <c r="L72" s="7">
        <v>82</v>
      </c>
      <c r="M72" s="7">
        <v>15</v>
      </c>
      <c r="N72" s="2">
        <v>119715</v>
      </c>
      <c r="O72" s="6">
        <f>Table1[[#This Row],[Clicks]]/Table1[[#This Row],[Impressions]]</f>
        <v>6.4855231031464506E-3</v>
      </c>
      <c r="P72" s="6">
        <f>Table1[[#This Row],[Leads]]/Table1[[#This Row],[Clicks]]</f>
        <v>1.8201997780244172E-2</v>
      </c>
      <c r="Q72" s="6" t="str">
        <f>IF(Table1[[#This Row],[Conversion1]]&gt;=2%,"High","Low")</f>
        <v>Low</v>
      </c>
      <c r="R72" s="6">
        <f>IFERROR(Table1[[#This Row],[Orders]]/Table1[[#This Row],[Leads]],0)</f>
        <v>0.18292682926829268</v>
      </c>
      <c r="S72" s="6" t="str">
        <f>IF(Table1[[#This Row],[Conversion2]]&gt;=15%,"High","Low")</f>
        <v>High</v>
      </c>
      <c r="T72" s="4">
        <f>IFERROR(Table1[[#This Row],[Revenue]]/Table1[[#This Row],[Orders]],0)</f>
        <v>7981</v>
      </c>
      <c r="U72" s="4">
        <f>Table1[[#This Row],[Market_Budget]]/Table1[[#This Row],[Clicks]]</f>
        <v>7.0322086570477245</v>
      </c>
      <c r="V72" s="4">
        <f>IFERROR(Table1[[#This Row],[Market_Budget]]/Table1[[#This Row],[Leads]],0)</f>
        <v>386.34268292682924</v>
      </c>
      <c r="W72" s="4">
        <f>IFERROR(Table1[[#This Row],[Market_Budget]]/Table1[[#This Row],[Orders]],0)</f>
        <v>2112.0066666666667</v>
      </c>
      <c r="X72" s="15">
        <f>(Table1[[#This Row],[Revenue]]-Table1[[#This Row],[Market_Budget]])/Table1[[#This Row],[Market_Budget]]</f>
        <v>2.7788706475042693</v>
      </c>
      <c r="Y72" s="5">
        <f>Table1[[#This Row],[Revenue]]-Table1[[#This Row],[Market_Budget]]</f>
        <v>88034.9</v>
      </c>
    </row>
    <row r="73" spans="1:25" x14ac:dyDescent="0.35">
      <c r="A73">
        <v>9034945</v>
      </c>
      <c r="B73" s="1">
        <v>44234</v>
      </c>
      <c r="C73" s="1" t="str">
        <f>TEXT(Table1[[#This Row],[Date]],"dddd")</f>
        <v>Sunday</v>
      </c>
      <c r="D73" s="1" t="str">
        <f>IF(WEEKDAY(Table1[[#This Row],[Date]],2)&gt;5,"Weekend","Weekday")</f>
        <v>Weekend</v>
      </c>
      <c r="E73" t="s">
        <v>41</v>
      </c>
      <c r="F73" t="str">
        <f>_xlfn.TEXTAFTER(Table1[[#This Row],[Campaign_Name]],"_")</f>
        <v>Tier1</v>
      </c>
      <c r="G73" t="str">
        <f>IF(ISNUMBER(SEARCH("Tier1",Table1[[#This Row],[Campaign_Name]])),"Tier1",IF(ISNUMBER(SEARCH("Tier2",Table1[[#This Row],[Campaign_Name]])),"Tier2","Not Applicable"))</f>
        <v>Tier1</v>
      </c>
      <c r="H73" t="s">
        <v>61</v>
      </c>
      <c r="I73" s="3">
        <v>37965.9</v>
      </c>
      <c r="J73" s="7">
        <v>1246126</v>
      </c>
      <c r="K73" s="7">
        <v>2696</v>
      </c>
      <c r="L73" s="7">
        <v>100</v>
      </c>
      <c r="M73" s="7">
        <v>11</v>
      </c>
      <c r="N73" s="2">
        <v>65791</v>
      </c>
      <c r="O73" s="6">
        <f>Table1[[#This Row],[Clicks]]/Table1[[#This Row],[Impressions]]</f>
        <v>2.1635051351147475E-3</v>
      </c>
      <c r="P73" s="6">
        <f>Table1[[#This Row],[Leads]]/Table1[[#This Row],[Clicks]]</f>
        <v>3.7091988130563795E-2</v>
      </c>
      <c r="Q73" s="6" t="str">
        <f>IF(Table1[[#This Row],[Conversion1]]&gt;=2%,"High","Low")</f>
        <v>High</v>
      </c>
      <c r="R73" s="6">
        <f>IFERROR(Table1[[#This Row],[Orders]]/Table1[[#This Row],[Leads]],0)</f>
        <v>0.11</v>
      </c>
      <c r="S73" s="6" t="str">
        <f>IF(Table1[[#This Row],[Conversion2]]&gt;=15%,"High","Low")</f>
        <v>Low</v>
      </c>
      <c r="T73" s="4">
        <f>IFERROR(Table1[[#This Row],[Revenue]]/Table1[[#This Row],[Orders]],0)</f>
        <v>5981</v>
      </c>
      <c r="U73" s="4">
        <f>Table1[[#This Row],[Market_Budget]]/Table1[[#This Row],[Clicks]]</f>
        <v>14.082307121661721</v>
      </c>
      <c r="V73" s="4">
        <f>IFERROR(Table1[[#This Row],[Market_Budget]]/Table1[[#This Row],[Leads]],0)</f>
        <v>379.65899999999999</v>
      </c>
      <c r="W73" s="4">
        <f>IFERROR(Table1[[#This Row],[Market_Budget]]/Table1[[#This Row],[Orders]],0)</f>
        <v>3451.4454545454546</v>
      </c>
      <c r="X73" s="15">
        <f>(Table1[[#This Row],[Revenue]]-Table1[[#This Row],[Market_Budget]])/Table1[[#This Row],[Market_Budget]]</f>
        <v>0.73289715244469378</v>
      </c>
      <c r="Y73" s="5">
        <f>Table1[[#This Row],[Revenue]]-Table1[[#This Row],[Market_Budget]]</f>
        <v>27825.1</v>
      </c>
    </row>
    <row r="74" spans="1:25" x14ac:dyDescent="0.35">
      <c r="A74">
        <v>983498</v>
      </c>
      <c r="B74" s="1">
        <v>44234</v>
      </c>
      <c r="C74" s="1" t="str">
        <f>TEXT(Table1[[#This Row],[Date]],"dddd")</f>
        <v>Sunday</v>
      </c>
      <c r="D74" s="1" t="str">
        <f>IF(WEEKDAY(Table1[[#This Row],[Date]],2)&gt;5,"Weekend","Weekday")</f>
        <v>Weekend</v>
      </c>
      <c r="E74" t="s">
        <v>42</v>
      </c>
      <c r="F74" t="str">
        <f>_xlfn.TEXTAFTER(Table1[[#This Row],[Campaign_Name]],"_")</f>
        <v>Tier2</v>
      </c>
      <c r="G74" t="str">
        <f>IF(ISNUMBER(SEARCH("Tier1",Table1[[#This Row],[Campaign_Name]])),"Tier1",IF(ISNUMBER(SEARCH("Tier2",Table1[[#This Row],[Campaign_Name]])),"Tier2","Not Applicable"))</f>
        <v>Tier2</v>
      </c>
      <c r="H74" t="s">
        <v>61</v>
      </c>
      <c r="I74" s="3">
        <v>6747.94</v>
      </c>
      <c r="J74" s="7">
        <v>567096</v>
      </c>
      <c r="K74" s="7">
        <v>5103</v>
      </c>
      <c r="L74" s="7">
        <v>199</v>
      </c>
      <c r="M74" s="7">
        <v>2</v>
      </c>
      <c r="N74" s="2">
        <v>3962</v>
      </c>
      <c r="O74" s="6">
        <f>Table1[[#This Row],[Clicks]]/Table1[[#This Row],[Impressions]]</f>
        <v>8.9984764484320121E-3</v>
      </c>
      <c r="P74" s="6">
        <f>Table1[[#This Row],[Leads]]/Table1[[#This Row],[Clicks]]</f>
        <v>3.8996668626298255E-2</v>
      </c>
      <c r="Q74" s="6" t="str">
        <f>IF(Table1[[#This Row],[Conversion1]]&gt;=2%,"High","Low")</f>
        <v>High</v>
      </c>
      <c r="R74" s="6">
        <f>IFERROR(Table1[[#This Row],[Orders]]/Table1[[#This Row],[Leads]],0)</f>
        <v>1.0050251256281407E-2</v>
      </c>
      <c r="S74" s="6" t="str">
        <f>IF(Table1[[#This Row],[Conversion2]]&gt;=15%,"High","Low")</f>
        <v>Low</v>
      </c>
      <c r="T74" s="4">
        <f>IFERROR(Table1[[#This Row],[Revenue]]/Table1[[#This Row],[Orders]],0)</f>
        <v>1981</v>
      </c>
      <c r="U74" s="4">
        <f>Table1[[#This Row],[Market_Budget]]/Table1[[#This Row],[Clicks]]</f>
        <v>1.3223476386439348</v>
      </c>
      <c r="V74" s="4">
        <f>IFERROR(Table1[[#This Row],[Market_Budget]]/Table1[[#This Row],[Leads]],0)</f>
        <v>33.909246231155777</v>
      </c>
      <c r="W74" s="4">
        <f>IFERROR(Table1[[#This Row],[Market_Budget]]/Table1[[#This Row],[Orders]],0)</f>
        <v>3373.97</v>
      </c>
      <c r="X74" s="15">
        <f>(Table1[[#This Row],[Revenue]]-Table1[[#This Row],[Market_Budget]])/Table1[[#This Row],[Market_Budget]]</f>
        <v>-0.41285784995124436</v>
      </c>
      <c r="Y74" s="5">
        <f>Table1[[#This Row],[Revenue]]-Table1[[#This Row],[Market_Budget]]</f>
        <v>-2785.9399999999996</v>
      </c>
    </row>
    <row r="75" spans="1:25" x14ac:dyDescent="0.35">
      <c r="A75">
        <v>4387490</v>
      </c>
      <c r="B75" s="1">
        <v>44234</v>
      </c>
      <c r="C75" s="1" t="str">
        <f>TEXT(Table1[[#This Row],[Date]],"dddd")</f>
        <v>Sunday</v>
      </c>
      <c r="D75" s="1" t="str">
        <f>IF(WEEKDAY(Table1[[#This Row],[Date]],2)&gt;5,"Weekend","Weekday")</f>
        <v>Weekend</v>
      </c>
      <c r="E75" t="s">
        <v>43</v>
      </c>
      <c r="F75" t="str">
        <f>_xlfn.TEXTAFTER(Table1[[#This Row],[Campaign_Name]],"_")</f>
        <v>Retargeting</v>
      </c>
      <c r="G75" t="str">
        <f>IF(ISNUMBER(SEARCH("Tier1",Table1[[#This Row],[Campaign_Name]])),"Tier1",IF(ISNUMBER(SEARCH("Tier2",Table1[[#This Row],[Campaign_Name]])),"Tier2","Not Applicable"))</f>
        <v>Not Applicable</v>
      </c>
      <c r="H75" t="s">
        <v>61</v>
      </c>
      <c r="I75" s="3">
        <v>3435.44</v>
      </c>
      <c r="J75" s="7">
        <v>9938</v>
      </c>
      <c r="K75" s="7">
        <v>294</v>
      </c>
      <c r="L75" s="7">
        <v>6</v>
      </c>
      <c r="M75" s="7">
        <v>1</v>
      </c>
      <c r="N75" s="2">
        <v>4981</v>
      </c>
      <c r="O75" s="6">
        <f>Table1[[#This Row],[Clicks]]/Table1[[#This Row],[Impressions]]</f>
        <v>2.9583417186556653E-2</v>
      </c>
      <c r="P75" s="6">
        <f>Table1[[#This Row],[Leads]]/Table1[[#This Row],[Clicks]]</f>
        <v>2.0408163265306121E-2</v>
      </c>
      <c r="Q75" s="6" t="str">
        <f>IF(Table1[[#This Row],[Conversion1]]&gt;=2%,"High","Low")</f>
        <v>High</v>
      </c>
      <c r="R75" s="6">
        <f>IFERROR(Table1[[#This Row],[Orders]]/Table1[[#This Row],[Leads]],0)</f>
        <v>0.16666666666666666</v>
      </c>
      <c r="S75" s="6" t="str">
        <f>IF(Table1[[#This Row],[Conversion2]]&gt;=15%,"High","Low")</f>
        <v>High</v>
      </c>
      <c r="T75" s="4">
        <f>IFERROR(Table1[[#This Row],[Revenue]]/Table1[[#This Row],[Orders]],0)</f>
        <v>4981</v>
      </c>
      <c r="U75" s="4">
        <f>Table1[[#This Row],[Market_Budget]]/Table1[[#This Row],[Clicks]]</f>
        <v>11.685170068027212</v>
      </c>
      <c r="V75" s="4">
        <f>IFERROR(Table1[[#This Row],[Market_Budget]]/Table1[[#This Row],[Leads]],0)</f>
        <v>572.57333333333338</v>
      </c>
      <c r="W75" s="4">
        <f>IFERROR(Table1[[#This Row],[Market_Budget]]/Table1[[#This Row],[Orders]],0)</f>
        <v>3435.44</v>
      </c>
      <c r="X75" s="15">
        <f>(Table1[[#This Row],[Revenue]]-Table1[[#This Row],[Market_Budget]])/Table1[[#This Row],[Market_Budget]]</f>
        <v>0.44988705959062009</v>
      </c>
      <c r="Y75" s="5">
        <f>Table1[[#This Row],[Revenue]]-Table1[[#This Row],[Market_Budget]]</f>
        <v>1545.56</v>
      </c>
    </row>
    <row r="76" spans="1:25" x14ac:dyDescent="0.35">
      <c r="A76">
        <v>544756</v>
      </c>
      <c r="B76" s="1">
        <v>44234</v>
      </c>
      <c r="C76" s="1" t="str">
        <f>TEXT(Table1[[#This Row],[Date]],"dddd")</f>
        <v>Sunday</v>
      </c>
      <c r="D76" s="1" t="str">
        <f>IF(WEEKDAY(Table1[[#This Row],[Date]],2)&gt;5,"Weekend","Weekday")</f>
        <v>Weekend</v>
      </c>
      <c r="E76" t="s">
        <v>44</v>
      </c>
      <c r="F76" t="str">
        <f>_xlfn.TEXTAFTER(Table1[[#This Row],[Campaign_Name]],"_")</f>
        <v>Lal</v>
      </c>
      <c r="G76" t="str">
        <f>IF(ISNUMBER(SEARCH("Tier1",Table1[[#This Row],[Campaign_Name]])),"Tier1",IF(ISNUMBER(SEARCH("Tier2",Table1[[#This Row],[Campaign_Name]])),"Tier2","Not Applicable"))</f>
        <v>Not Applicable</v>
      </c>
      <c r="H76" t="s">
        <v>61</v>
      </c>
      <c r="I76" s="3">
        <v>10104.9</v>
      </c>
      <c r="J76" s="7">
        <v>174221</v>
      </c>
      <c r="K76" s="7">
        <v>1197</v>
      </c>
      <c r="L76" s="7">
        <v>6</v>
      </c>
      <c r="M76" s="7">
        <v>1</v>
      </c>
      <c r="N76" s="2">
        <v>981</v>
      </c>
      <c r="O76" s="6">
        <f>Table1[[#This Row],[Clicks]]/Table1[[#This Row],[Impressions]]</f>
        <v>6.8705839135351074E-3</v>
      </c>
      <c r="P76" s="6">
        <f>Table1[[#This Row],[Leads]]/Table1[[#This Row],[Clicks]]</f>
        <v>5.0125313283208017E-3</v>
      </c>
      <c r="Q76" s="6" t="str">
        <f>IF(Table1[[#This Row],[Conversion1]]&gt;=2%,"High","Low")</f>
        <v>Low</v>
      </c>
      <c r="R76" s="6">
        <f>IFERROR(Table1[[#This Row],[Orders]]/Table1[[#This Row],[Leads]],0)</f>
        <v>0.16666666666666666</v>
      </c>
      <c r="S76" s="6" t="str">
        <f>IF(Table1[[#This Row],[Conversion2]]&gt;=15%,"High","Low")</f>
        <v>High</v>
      </c>
      <c r="T76" s="4">
        <f>IFERROR(Table1[[#This Row],[Revenue]]/Table1[[#This Row],[Orders]],0)</f>
        <v>981</v>
      </c>
      <c r="U76" s="4">
        <f>Table1[[#This Row],[Market_Budget]]/Table1[[#This Row],[Clicks]]</f>
        <v>8.4418546365914793</v>
      </c>
      <c r="V76" s="4">
        <f>IFERROR(Table1[[#This Row],[Market_Budget]]/Table1[[#This Row],[Leads]],0)</f>
        <v>1684.1499999999999</v>
      </c>
      <c r="W76" s="4">
        <f>IFERROR(Table1[[#This Row],[Market_Budget]]/Table1[[#This Row],[Orders]],0)</f>
        <v>10104.9</v>
      </c>
      <c r="X76" s="15">
        <f>(Table1[[#This Row],[Revenue]]-Table1[[#This Row],[Market_Budget]])/Table1[[#This Row],[Market_Budget]]</f>
        <v>-0.90291838612950148</v>
      </c>
      <c r="Y76" s="5">
        <f>Table1[[#This Row],[Revenue]]-Table1[[#This Row],[Market_Budget]]</f>
        <v>-9123.9</v>
      </c>
    </row>
    <row r="77" spans="1:25" x14ac:dyDescent="0.35">
      <c r="A77">
        <v>374754</v>
      </c>
      <c r="B77" s="1">
        <v>44234</v>
      </c>
      <c r="C77" s="1" t="str">
        <f>TEXT(Table1[[#This Row],[Date]],"dddd")</f>
        <v>Sunday</v>
      </c>
      <c r="D77" s="1" t="str">
        <f>IF(WEEKDAY(Table1[[#This Row],[Date]],2)&gt;5,"Weekend","Weekday")</f>
        <v>Weekend</v>
      </c>
      <c r="E77" t="s">
        <v>45</v>
      </c>
      <c r="F77" t="str">
        <f>_xlfn.TEXTAFTER(Table1[[#This Row],[Campaign_Name]],"_")</f>
        <v>Blogger</v>
      </c>
      <c r="G77" t="str">
        <f>IF(ISNUMBER(SEARCH("Tier1",Table1[[#This Row],[Campaign_Name]])),"Tier1",IF(ISNUMBER(SEARCH("Tier2",Table1[[#This Row],[Campaign_Name]])),"Tier2","Not Applicable"))</f>
        <v>Not Applicable</v>
      </c>
      <c r="H77" t="s">
        <v>48</v>
      </c>
      <c r="I77" s="3">
        <v>46167.6</v>
      </c>
      <c r="J77" s="7">
        <v>300700</v>
      </c>
      <c r="K77" s="7">
        <v>3007</v>
      </c>
      <c r="L77" s="7">
        <v>93</v>
      </c>
      <c r="M77" s="7">
        <v>12</v>
      </c>
      <c r="N77" s="2">
        <v>68076</v>
      </c>
      <c r="O77" s="6">
        <f>Table1[[#This Row],[Clicks]]/Table1[[#This Row],[Impressions]]</f>
        <v>0.01</v>
      </c>
      <c r="P77" s="6">
        <f>Table1[[#This Row],[Leads]]/Table1[[#This Row],[Clicks]]</f>
        <v>3.0927835051546393E-2</v>
      </c>
      <c r="Q77" s="6" t="str">
        <f>IF(Table1[[#This Row],[Conversion1]]&gt;=2%,"High","Low")</f>
        <v>High</v>
      </c>
      <c r="R77" s="6">
        <f>IFERROR(Table1[[#This Row],[Orders]]/Table1[[#This Row],[Leads]],0)</f>
        <v>0.12903225806451613</v>
      </c>
      <c r="S77" s="6" t="str">
        <f>IF(Table1[[#This Row],[Conversion2]]&gt;=15%,"High","Low")</f>
        <v>Low</v>
      </c>
      <c r="T77" s="4">
        <f>IFERROR(Table1[[#This Row],[Revenue]]/Table1[[#This Row],[Orders]],0)</f>
        <v>5673</v>
      </c>
      <c r="U77" s="4">
        <f>Table1[[#This Row],[Market_Budget]]/Table1[[#This Row],[Clicks]]</f>
        <v>15.353375457266377</v>
      </c>
      <c r="V77" s="4">
        <f>IFERROR(Table1[[#This Row],[Market_Budget]]/Table1[[#This Row],[Leads]],0)</f>
        <v>496.42580645161291</v>
      </c>
      <c r="W77" s="4">
        <f>IFERROR(Table1[[#This Row],[Market_Budget]]/Table1[[#This Row],[Orders]],0)</f>
        <v>3847.2999999999997</v>
      </c>
      <c r="X77" s="15">
        <f>(Table1[[#This Row],[Revenue]]-Table1[[#This Row],[Market_Budget]])/Table1[[#This Row],[Market_Budget]]</f>
        <v>0.47454058690510231</v>
      </c>
      <c r="Y77" s="5">
        <f>Table1[[#This Row],[Revenue]]-Table1[[#This Row],[Market_Budget]]</f>
        <v>21908.400000000001</v>
      </c>
    </row>
    <row r="78" spans="1:25" x14ac:dyDescent="0.35">
      <c r="A78">
        <v>39889</v>
      </c>
      <c r="B78" s="1">
        <v>44234</v>
      </c>
      <c r="C78" s="1" t="str">
        <f>TEXT(Table1[[#This Row],[Date]],"dddd")</f>
        <v>Sunday</v>
      </c>
      <c r="D78" s="1" t="str">
        <f>IF(WEEKDAY(Table1[[#This Row],[Date]],2)&gt;5,"Weekend","Weekday")</f>
        <v>Weekend</v>
      </c>
      <c r="E78" t="s">
        <v>46</v>
      </c>
      <c r="F78" t="str">
        <f>_xlfn.TEXTAFTER(Table1[[#This Row],[Campaign_Name]],"_")</f>
        <v>Partner</v>
      </c>
      <c r="G78" t="str">
        <f>IF(ISNUMBER(SEARCH("Tier1",Table1[[#This Row],[Campaign_Name]])),"Tier1",IF(ISNUMBER(SEARCH("Tier2",Table1[[#This Row],[Campaign_Name]])),"Tier2","Not Applicable"))</f>
        <v>Not Applicable</v>
      </c>
      <c r="H78" t="s">
        <v>62</v>
      </c>
      <c r="I78" s="3">
        <v>79987.7</v>
      </c>
      <c r="J78" s="7">
        <v>3957603</v>
      </c>
      <c r="K78" s="7">
        <v>4203</v>
      </c>
      <c r="L78" s="7">
        <v>142</v>
      </c>
      <c r="M78" s="7">
        <v>27</v>
      </c>
      <c r="N78" s="2">
        <v>90504</v>
      </c>
      <c r="O78" s="6">
        <f>Table1[[#This Row],[Clicks]]/Table1[[#This Row],[Impressions]]</f>
        <v>1.0620064720993996E-3</v>
      </c>
      <c r="P78" s="6">
        <f>Table1[[#This Row],[Leads]]/Table1[[#This Row],[Clicks]]</f>
        <v>3.3785391387104451E-2</v>
      </c>
      <c r="Q78" s="6" t="str">
        <f>IF(Table1[[#This Row],[Conversion1]]&gt;=2%,"High","Low")</f>
        <v>High</v>
      </c>
      <c r="R78" s="6">
        <f>IFERROR(Table1[[#This Row],[Orders]]/Table1[[#This Row],[Leads]],0)</f>
        <v>0.19014084507042253</v>
      </c>
      <c r="S78" s="6" t="str">
        <f>IF(Table1[[#This Row],[Conversion2]]&gt;=15%,"High","Low")</f>
        <v>High</v>
      </c>
      <c r="T78" s="4">
        <f>IFERROR(Table1[[#This Row],[Revenue]]/Table1[[#This Row],[Orders]],0)</f>
        <v>3352</v>
      </c>
      <c r="U78" s="4">
        <f>Table1[[#This Row],[Market_Budget]]/Table1[[#This Row],[Clicks]]</f>
        <v>19.031096835593623</v>
      </c>
      <c r="V78" s="4">
        <f>IFERROR(Table1[[#This Row],[Market_Budget]]/Table1[[#This Row],[Leads]],0)</f>
        <v>563.29366197183094</v>
      </c>
      <c r="W78" s="4">
        <f>IFERROR(Table1[[#This Row],[Market_Budget]]/Table1[[#This Row],[Orders]],0)</f>
        <v>2962.5074074074073</v>
      </c>
      <c r="X78" s="15">
        <f>(Table1[[#This Row],[Revenue]]-Table1[[#This Row],[Market_Budget]])/Table1[[#This Row],[Market_Budget]]</f>
        <v>0.13147396412198378</v>
      </c>
      <c r="Y78" s="5">
        <f>Table1[[#This Row],[Revenue]]-Table1[[#This Row],[Market_Budget]]</f>
        <v>10516.300000000003</v>
      </c>
    </row>
    <row r="79" spans="1:25" x14ac:dyDescent="0.35">
      <c r="A79">
        <v>349043</v>
      </c>
      <c r="B79" s="1">
        <v>44235</v>
      </c>
      <c r="C79" s="1" t="str">
        <f>TEXT(Table1[[#This Row],[Date]],"dddd")</f>
        <v>Monday</v>
      </c>
      <c r="D79" s="1" t="str">
        <f>IF(WEEKDAY(Table1[[#This Row],[Date]],2)&gt;5,"Weekend","Weekday")</f>
        <v>Weekday</v>
      </c>
      <c r="E79" t="s">
        <v>36</v>
      </c>
      <c r="F79" t="str">
        <f>_xlfn.TEXTAFTER(Table1[[#This Row],[Campaign_Name]],"_")</f>
        <v>Tier1</v>
      </c>
      <c r="G79" t="str">
        <f>IF(ISNUMBER(SEARCH("Tier1",Table1[[#This Row],[Campaign_Name]])),"Tier1",IF(ISNUMBER(SEARCH("Tier2",Table1[[#This Row],[Campaign_Name]])),"Tier2","Not Applicable"))</f>
        <v>Tier1</v>
      </c>
      <c r="H79" t="s">
        <v>61</v>
      </c>
      <c r="I79" s="3">
        <v>27210.400000000001</v>
      </c>
      <c r="J79" s="7">
        <v>479000</v>
      </c>
      <c r="K79" s="7">
        <v>2395</v>
      </c>
      <c r="L79" s="7">
        <v>36</v>
      </c>
      <c r="M79" s="7">
        <v>5</v>
      </c>
      <c r="N79" s="2">
        <v>22345</v>
      </c>
      <c r="O79" s="6">
        <f>Table1[[#This Row],[Clicks]]/Table1[[#This Row],[Impressions]]</f>
        <v>5.0000000000000001E-3</v>
      </c>
      <c r="P79" s="6">
        <f>Table1[[#This Row],[Leads]]/Table1[[#This Row],[Clicks]]</f>
        <v>1.5031315240083507E-2</v>
      </c>
      <c r="Q79" s="6" t="str">
        <f>IF(Table1[[#This Row],[Conversion1]]&gt;=2%,"High","Low")</f>
        <v>Low</v>
      </c>
      <c r="R79" s="6">
        <f>IFERROR(Table1[[#This Row],[Orders]]/Table1[[#This Row],[Leads]],0)</f>
        <v>0.1388888888888889</v>
      </c>
      <c r="S79" s="6" t="str">
        <f>IF(Table1[[#This Row],[Conversion2]]&gt;=15%,"High","Low")</f>
        <v>Low</v>
      </c>
      <c r="T79" s="4">
        <f>IFERROR(Table1[[#This Row],[Revenue]]/Table1[[#This Row],[Orders]],0)</f>
        <v>4469</v>
      </c>
      <c r="U79" s="4">
        <f>Table1[[#This Row],[Market_Budget]]/Table1[[#This Row],[Clicks]]</f>
        <v>11.36133611691023</v>
      </c>
      <c r="V79" s="4">
        <f>IFERROR(Table1[[#This Row],[Market_Budget]]/Table1[[#This Row],[Leads]],0)</f>
        <v>755.84444444444443</v>
      </c>
      <c r="W79" s="4">
        <f>IFERROR(Table1[[#This Row],[Market_Budget]]/Table1[[#This Row],[Orders]],0)</f>
        <v>5442.08</v>
      </c>
      <c r="X79" s="15">
        <f>(Table1[[#This Row],[Revenue]]-Table1[[#This Row],[Market_Budget]])/Table1[[#This Row],[Market_Budget]]</f>
        <v>-0.17880663275806313</v>
      </c>
      <c r="Y79" s="5">
        <f>Table1[[#This Row],[Revenue]]-Table1[[#This Row],[Market_Budget]]</f>
        <v>-4865.4000000000015</v>
      </c>
    </row>
    <row r="80" spans="1:25" x14ac:dyDescent="0.35">
      <c r="A80">
        <v>348934</v>
      </c>
      <c r="B80" s="1">
        <v>44235</v>
      </c>
      <c r="C80" s="1" t="str">
        <f>TEXT(Table1[[#This Row],[Date]],"dddd")</f>
        <v>Monday</v>
      </c>
      <c r="D80" s="1" t="str">
        <f>IF(WEEKDAY(Table1[[#This Row],[Date]],2)&gt;5,"Weekend","Weekday")</f>
        <v>Weekday</v>
      </c>
      <c r="E80" t="s">
        <v>37</v>
      </c>
      <c r="F80" t="str">
        <f>_xlfn.TEXTAFTER(Table1[[#This Row],[Campaign_Name]],"_")</f>
        <v>Tier2</v>
      </c>
      <c r="G80" t="str">
        <f>IF(ISNUMBER(SEARCH("Tier1",Table1[[#This Row],[Campaign_Name]])),"Tier1",IF(ISNUMBER(SEARCH("Tier2",Table1[[#This Row],[Campaign_Name]])),"Tier2","Not Applicable"))</f>
        <v>Tier2</v>
      </c>
      <c r="H80" t="s">
        <v>61</v>
      </c>
      <c r="I80" s="3">
        <v>33752.800000000003</v>
      </c>
      <c r="J80" s="7">
        <v>472656</v>
      </c>
      <c r="K80" s="7">
        <v>3290</v>
      </c>
      <c r="L80" s="7">
        <v>66</v>
      </c>
      <c r="M80" s="7">
        <v>5</v>
      </c>
      <c r="N80" s="2">
        <v>28670</v>
      </c>
      <c r="O80" s="6">
        <f>Table1[[#This Row],[Clicks]]/Table1[[#This Row],[Impressions]]</f>
        <v>6.9606648386987572E-3</v>
      </c>
      <c r="P80" s="6">
        <f>Table1[[#This Row],[Leads]]/Table1[[#This Row],[Clicks]]</f>
        <v>2.0060790273556232E-2</v>
      </c>
      <c r="Q80" s="6" t="str">
        <f>IF(Table1[[#This Row],[Conversion1]]&gt;=2%,"High","Low")</f>
        <v>High</v>
      </c>
      <c r="R80" s="6">
        <f>IFERROR(Table1[[#This Row],[Orders]]/Table1[[#This Row],[Leads]],0)</f>
        <v>7.575757575757576E-2</v>
      </c>
      <c r="S80" s="6" t="str">
        <f>IF(Table1[[#This Row],[Conversion2]]&gt;=15%,"High","Low")</f>
        <v>Low</v>
      </c>
      <c r="T80" s="4">
        <f>IFERROR(Table1[[#This Row],[Revenue]]/Table1[[#This Row],[Orders]],0)</f>
        <v>5734</v>
      </c>
      <c r="U80" s="4">
        <f>Table1[[#This Row],[Market_Budget]]/Table1[[#This Row],[Clicks]]</f>
        <v>10.259209726443769</v>
      </c>
      <c r="V80" s="4">
        <f>IFERROR(Table1[[#This Row],[Market_Budget]]/Table1[[#This Row],[Leads]],0)</f>
        <v>511.40606060606063</v>
      </c>
      <c r="W80" s="4">
        <f>IFERROR(Table1[[#This Row],[Market_Budget]]/Table1[[#This Row],[Orders]],0)</f>
        <v>6750.56</v>
      </c>
      <c r="X80" s="15">
        <f>(Table1[[#This Row],[Revenue]]-Table1[[#This Row],[Market_Budget]])/Table1[[#This Row],[Market_Budget]]</f>
        <v>-0.15058898817283314</v>
      </c>
      <c r="Y80" s="5">
        <f>Table1[[#This Row],[Revenue]]-Table1[[#This Row],[Market_Budget]]</f>
        <v>-5082.8000000000029</v>
      </c>
    </row>
    <row r="81" spans="1:25" x14ac:dyDescent="0.35">
      <c r="A81">
        <v>89459845</v>
      </c>
      <c r="B81" s="1">
        <v>44235</v>
      </c>
      <c r="C81" s="1" t="str">
        <f>TEXT(Table1[[#This Row],[Date]],"dddd")</f>
        <v>Monday</v>
      </c>
      <c r="D81" s="1" t="str">
        <f>IF(WEEKDAY(Table1[[#This Row],[Date]],2)&gt;5,"Weekend","Weekday")</f>
        <v>Weekday</v>
      </c>
      <c r="E81" t="s">
        <v>38</v>
      </c>
      <c r="F81" t="str">
        <f>_xlfn.TEXTAFTER(Table1[[#This Row],[Campaign_Name]],"_")</f>
        <v>Hot</v>
      </c>
      <c r="G81" t="str">
        <f>IF(ISNUMBER(SEARCH("Tier1",Table1[[#This Row],[Campaign_Name]])),"Tier1",IF(ISNUMBER(SEARCH("Tier2",Table1[[#This Row],[Campaign_Name]])),"Tier2","Not Applicable"))</f>
        <v>Not Applicable</v>
      </c>
      <c r="H81" t="s">
        <v>47</v>
      </c>
      <c r="I81" s="3">
        <v>6918.85</v>
      </c>
      <c r="J81" s="7">
        <v>51350</v>
      </c>
      <c r="K81" s="7">
        <v>904</v>
      </c>
      <c r="L81" s="7">
        <v>20</v>
      </c>
      <c r="M81" s="7">
        <v>2</v>
      </c>
      <c r="N81" s="2">
        <v>16240</v>
      </c>
      <c r="O81" s="6">
        <f>Table1[[#This Row],[Clicks]]/Table1[[#This Row],[Impressions]]</f>
        <v>1.7604673807205453E-2</v>
      </c>
      <c r="P81" s="6">
        <f>Table1[[#This Row],[Leads]]/Table1[[#This Row],[Clicks]]</f>
        <v>2.2123893805309734E-2</v>
      </c>
      <c r="Q81" s="6" t="str">
        <f>IF(Table1[[#This Row],[Conversion1]]&gt;=2%,"High","Low")</f>
        <v>High</v>
      </c>
      <c r="R81" s="6">
        <f>IFERROR(Table1[[#This Row],[Orders]]/Table1[[#This Row],[Leads]],0)</f>
        <v>0.1</v>
      </c>
      <c r="S81" s="6" t="str">
        <f>IF(Table1[[#This Row],[Conversion2]]&gt;=15%,"High","Low")</f>
        <v>Low</v>
      </c>
      <c r="T81" s="4">
        <f>IFERROR(Table1[[#This Row],[Revenue]]/Table1[[#This Row],[Orders]],0)</f>
        <v>8120</v>
      </c>
      <c r="U81" s="4">
        <f>Table1[[#This Row],[Market_Budget]]/Table1[[#This Row],[Clicks]]</f>
        <v>7.6535951327433631</v>
      </c>
      <c r="V81" s="4">
        <f>IFERROR(Table1[[#This Row],[Market_Budget]]/Table1[[#This Row],[Leads]],0)</f>
        <v>345.9425</v>
      </c>
      <c r="W81" s="4">
        <f>IFERROR(Table1[[#This Row],[Market_Budget]]/Table1[[#This Row],[Orders]],0)</f>
        <v>3459.4250000000002</v>
      </c>
      <c r="X81" s="15">
        <f>(Table1[[#This Row],[Revenue]]-Table1[[#This Row],[Market_Budget]])/Table1[[#This Row],[Market_Budget]]</f>
        <v>1.3472108804208791</v>
      </c>
      <c r="Y81" s="5">
        <f>Table1[[#This Row],[Revenue]]-Table1[[#This Row],[Market_Budget]]</f>
        <v>9321.15</v>
      </c>
    </row>
    <row r="82" spans="1:25" x14ac:dyDescent="0.35">
      <c r="A82">
        <v>127823</v>
      </c>
      <c r="B82" s="1">
        <v>44235</v>
      </c>
      <c r="C82" s="1" t="str">
        <f>TEXT(Table1[[#This Row],[Date]],"dddd")</f>
        <v>Monday</v>
      </c>
      <c r="D82" s="1" t="str">
        <f>IF(WEEKDAY(Table1[[#This Row],[Date]],2)&gt;5,"Weekend","Weekday")</f>
        <v>Weekday</v>
      </c>
      <c r="E82" t="s">
        <v>39</v>
      </c>
      <c r="F82" t="str">
        <f>_xlfn.TEXTAFTER(Table1[[#This Row],[Campaign_Name]],"_")</f>
        <v>Wide</v>
      </c>
      <c r="G82" t="str">
        <f>IF(ISNUMBER(SEARCH("Tier1",Table1[[#This Row],[Campaign_Name]])),"Tier1",IF(ISNUMBER(SEARCH("Tier2",Table1[[#This Row],[Campaign_Name]])),"Tier2","Not Applicable"))</f>
        <v>Not Applicable</v>
      </c>
      <c r="H82" t="s">
        <v>47</v>
      </c>
      <c r="I82" s="3">
        <v>16567.5</v>
      </c>
      <c r="J82" s="7">
        <v>478000</v>
      </c>
      <c r="K82" s="7">
        <v>2390</v>
      </c>
      <c r="L82" s="7">
        <v>48</v>
      </c>
      <c r="M82" s="7">
        <v>5</v>
      </c>
      <c r="N82" s="2">
        <v>16995</v>
      </c>
      <c r="O82" s="6">
        <f>Table1[[#This Row],[Clicks]]/Table1[[#This Row],[Impressions]]</f>
        <v>5.0000000000000001E-3</v>
      </c>
      <c r="P82" s="6">
        <f>Table1[[#This Row],[Leads]]/Table1[[#This Row],[Clicks]]</f>
        <v>2.0083682008368201E-2</v>
      </c>
      <c r="Q82" s="6" t="str">
        <f>IF(Table1[[#This Row],[Conversion1]]&gt;=2%,"High","Low")</f>
        <v>High</v>
      </c>
      <c r="R82" s="6">
        <f>IFERROR(Table1[[#This Row],[Orders]]/Table1[[#This Row],[Leads]],0)</f>
        <v>0.10416666666666667</v>
      </c>
      <c r="S82" s="6" t="str">
        <f>IF(Table1[[#This Row],[Conversion2]]&gt;=15%,"High","Low")</f>
        <v>Low</v>
      </c>
      <c r="T82" s="4">
        <f>IFERROR(Table1[[#This Row],[Revenue]]/Table1[[#This Row],[Orders]],0)</f>
        <v>3399</v>
      </c>
      <c r="U82" s="4">
        <f>Table1[[#This Row],[Market_Budget]]/Table1[[#This Row],[Clicks]]</f>
        <v>6.9320083682008367</v>
      </c>
      <c r="V82" s="4">
        <f>IFERROR(Table1[[#This Row],[Market_Budget]]/Table1[[#This Row],[Leads]],0)</f>
        <v>345.15625</v>
      </c>
      <c r="W82" s="4">
        <f>IFERROR(Table1[[#This Row],[Market_Budget]]/Table1[[#This Row],[Orders]],0)</f>
        <v>3313.5</v>
      </c>
      <c r="X82" s="15">
        <f>(Table1[[#This Row],[Revenue]]-Table1[[#This Row],[Market_Budget]])/Table1[[#This Row],[Market_Budget]]</f>
        <v>2.5803531009506563E-2</v>
      </c>
      <c r="Y82" s="5">
        <f>Table1[[#This Row],[Revenue]]-Table1[[#This Row],[Market_Budget]]</f>
        <v>427.5</v>
      </c>
    </row>
    <row r="83" spans="1:25" x14ac:dyDescent="0.35">
      <c r="A83">
        <v>10934</v>
      </c>
      <c r="B83" s="1">
        <v>44235</v>
      </c>
      <c r="C83" s="1" t="str">
        <f>TEXT(Table1[[#This Row],[Date]],"dddd")</f>
        <v>Monday</v>
      </c>
      <c r="D83" s="1" t="str">
        <f>IF(WEEKDAY(Table1[[#This Row],[Date]],2)&gt;5,"Weekend","Weekday")</f>
        <v>Weekday</v>
      </c>
      <c r="E83" t="s">
        <v>40</v>
      </c>
      <c r="F83" t="str">
        <f>_xlfn.TEXTAFTER(Table1[[#This Row],[Campaign_Name]],"_")</f>
        <v>Blogger</v>
      </c>
      <c r="G83" t="str">
        <f>IF(ISNUMBER(SEARCH("Tier1",Table1[[#This Row],[Campaign_Name]])),"Tier1",IF(ISNUMBER(SEARCH("Tier2",Table1[[#This Row],[Campaign_Name]])),"Tier2","Not Applicable"))</f>
        <v>Not Applicable</v>
      </c>
      <c r="H83" t="s">
        <v>48</v>
      </c>
      <c r="I83" s="3">
        <v>33892.6</v>
      </c>
      <c r="J83" s="7">
        <v>685530</v>
      </c>
      <c r="K83" s="7">
        <v>4491</v>
      </c>
      <c r="L83" s="7">
        <v>79</v>
      </c>
      <c r="M83" s="7">
        <v>16</v>
      </c>
      <c r="N83" s="2">
        <v>120176</v>
      </c>
      <c r="O83" s="6">
        <f>Table1[[#This Row],[Clicks]]/Table1[[#This Row],[Impressions]]</f>
        <v>6.5511356176972558E-3</v>
      </c>
      <c r="P83" s="6">
        <f>Table1[[#This Row],[Leads]]/Table1[[#This Row],[Clicks]]</f>
        <v>1.7590737029614785E-2</v>
      </c>
      <c r="Q83" s="6" t="str">
        <f>IF(Table1[[#This Row],[Conversion1]]&gt;=2%,"High","Low")</f>
        <v>Low</v>
      </c>
      <c r="R83" s="6">
        <f>IFERROR(Table1[[#This Row],[Orders]]/Table1[[#This Row],[Leads]],0)</f>
        <v>0.20253164556962025</v>
      </c>
      <c r="S83" s="6" t="str">
        <f>IF(Table1[[#This Row],[Conversion2]]&gt;=15%,"High","Low")</f>
        <v>High</v>
      </c>
      <c r="T83" s="4">
        <f>IFERROR(Table1[[#This Row],[Revenue]]/Table1[[#This Row],[Orders]],0)</f>
        <v>7511</v>
      </c>
      <c r="U83" s="4">
        <f>Table1[[#This Row],[Market_Budget]]/Table1[[#This Row],[Clicks]]</f>
        <v>7.5467824537964816</v>
      </c>
      <c r="V83" s="4">
        <f>IFERROR(Table1[[#This Row],[Market_Budget]]/Table1[[#This Row],[Leads]],0)</f>
        <v>429.02025316455695</v>
      </c>
      <c r="W83" s="4">
        <f>IFERROR(Table1[[#This Row],[Market_Budget]]/Table1[[#This Row],[Orders]],0)</f>
        <v>2118.2874999999999</v>
      </c>
      <c r="X83" s="15">
        <f>(Table1[[#This Row],[Revenue]]-Table1[[#This Row],[Market_Budget]])/Table1[[#This Row],[Market_Budget]]</f>
        <v>2.5457887562476764</v>
      </c>
      <c r="Y83" s="5">
        <f>Table1[[#This Row],[Revenue]]-Table1[[#This Row],[Market_Budget]]</f>
        <v>86283.4</v>
      </c>
    </row>
    <row r="84" spans="1:25" x14ac:dyDescent="0.35">
      <c r="A84">
        <v>9034945</v>
      </c>
      <c r="B84" s="1">
        <v>44235</v>
      </c>
      <c r="C84" s="1" t="str">
        <f>TEXT(Table1[[#This Row],[Date]],"dddd")</f>
        <v>Monday</v>
      </c>
      <c r="D84" s="1" t="str">
        <f>IF(WEEKDAY(Table1[[#This Row],[Date]],2)&gt;5,"Weekend","Weekday")</f>
        <v>Weekday</v>
      </c>
      <c r="E84" t="s">
        <v>41</v>
      </c>
      <c r="F84" t="str">
        <f>_xlfn.TEXTAFTER(Table1[[#This Row],[Campaign_Name]],"_")</f>
        <v>Tier1</v>
      </c>
      <c r="G84" t="str">
        <f>IF(ISNUMBER(SEARCH("Tier1",Table1[[#This Row],[Campaign_Name]])),"Tier1",IF(ISNUMBER(SEARCH("Tier2",Table1[[#This Row],[Campaign_Name]])),"Tier2","Not Applicable"))</f>
        <v>Tier1</v>
      </c>
      <c r="H84" t="s">
        <v>61</v>
      </c>
      <c r="I84" s="3">
        <v>330.76</v>
      </c>
      <c r="J84" s="7">
        <v>472836</v>
      </c>
      <c r="K84" s="7">
        <v>2690</v>
      </c>
      <c r="L84" s="7">
        <v>1</v>
      </c>
      <c r="M84" s="7">
        <v>0</v>
      </c>
      <c r="N84" s="2">
        <v>0</v>
      </c>
      <c r="O84" s="6">
        <f>Table1[[#This Row],[Clicks]]/Table1[[#This Row],[Impressions]]</f>
        <v>5.6890761278752039E-3</v>
      </c>
      <c r="P84" s="6">
        <f>Table1[[#This Row],[Leads]]/Table1[[#This Row],[Clicks]]</f>
        <v>3.7174721189591077E-4</v>
      </c>
      <c r="Q84" s="6" t="str">
        <f>IF(Table1[[#This Row],[Conversion1]]&gt;=2%,"High","Low")</f>
        <v>Low</v>
      </c>
      <c r="R84" s="6">
        <f>IFERROR(Table1[[#This Row],[Orders]]/Table1[[#This Row],[Leads]],0)</f>
        <v>0</v>
      </c>
      <c r="S84" s="6" t="str">
        <f>IF(Table1[[#This Row],[Conversion2]]&gt;=15%,"High","Low")</f>
        <v>Low</v>
      </c>
      <c r="T84" s="4">
        <f>IFERROR(Table1[[#This Row],[Revenue]]/Table1[[#This Row],[Orders]],0)</f>
        <v>0</v>
      </c>
      <c r="U84" s="4">
        <f>Table1[[#This Row],[Market_Budget]]/Table1[[#This Row],[Clicks]]</f>
        <v>0.12295910780669145</v>
      </c>
      <c r="V84" s="4">
        <f>IFERROR(Table1[[#This Row],[Market_Budget]]/Table1[[#This Row],[Leads]],0)</f>
        <v>330.76</v>
      </c>
      <c r="W84" s="4">
        <f>IFERROR(Table1[[#This Row],[Market_Budget]]/Table1[[#This Row],[Orders]],0)</f>
        <v>0</v>
      </c>
      <c r="X84" s="15">
        <f>(Table1[[#This Row],[Revenue]]-Table1[[#This Row],[Market_Budget]])/Table1[[#This Row],[Market_Budget]]</f>
        <v>-1</v>
      </c>
      <c r="Y84" s="5">
        <f>Table1[[#This Row],[Revenue]]-Table1[[#This Row],[Market_Budget]]</f>
        <v>-330.76</v>
      </c>
    </row>
    <row r="85" spans="1:25" x14ac:dyDescent="0.35">
      <c r="A85">
        <v>983498</v>
      </c>
      <c r="B85" s="1">
        <v>44235</v>
      </c>
      <c r="C85" s="1" t="str">
        <f>TEXT(Table1[[#This Row],[Date]],"dddd")</f>
        <v>Monday</v>
      </c>
      <c r="D85" s="1" t="str">
        <f>IF(WEEKDAY(Table1[[#This Row],[Date]],2)&gt;5,"Weekend","Weekday")</f>
        <v>Weekday</v>
      </c>
      <c r="E85" t="s">
        <v>42</v>
      </c>
      <c r="F85" t="str">
        <f>_xlfn.TEXTAFTER(Table1[[#This Row],[Campaign_Name]],"_")</f>
        <v>Tier2</v>
      </c>
      <c r="G85" t="str">
        <f>IF(ISNUMBER(SEARCH("Tier1",Table1[[#This Row],[Campaign_Name]])),"Tier1",IF(ISNUMBER(SEARCH("Tier2",Table1[[#This Row],[Campaign_Name]])),"Tier2","Not Applicable"))</f>
        <v>Tier2</v>
      </c>
      <c r="H85" t="s">
        <v>61</v>
      </c>
      <c r="I85" s="3">
        <v>2057.3000000000002</v>
      </c>
      <c r="J85" s="7">
        <v>1020000</v>
      </c>
      <c r="K85" s="7">
        <v>5100</v>
      </c>
      <c r="L85" s="7">
        <v>102</v>
      </c>
      <c r="M85" s="7">
        <v>1</v>
      </c>
      <c r="N85" s="2">
        <v>1981</v>
      </c>
      <c r="O85" s="6">
        <f>Table1[[#This Row],[Clicks]]/Table1[[#This Row],[Impressions]]</f>
        <v>5.0000000000000001E-3</v>
      </c>
      <c r="P85" s="6">
        <f>Table1[[#This Row],[Leads]]/Table1[[#This Row],[Clicks]]</f>
        <v>0.02</v>
      </c>
      <c r="Q85" s="6" t="str">
        <f>IF(Table1[[#This Row],[Conversion1]]&gt;=2%,"High","Low")</f>
        <v>High</v>
      </c>
      <c r="R85" s="6">
        <f>IFERROR(Table1[[#This Row],[Orders]]/Table1[[#This Row],[Leads]],0)</f>
        <v>9.8039215686274508E-3</v>
      </c>
      <c r="S85" s="6" t="str">
        <f>IF(Table1[[#This Row],[Conversion2]]&gt;=15%,"High","Low")</f>
        <v>Low</v>
      </c>
      <c r="T85" s="4">
        <f>IFERROR(Table1[[#This Row],[Revenue]]/Table1[[#This Row],[Orders]],0)</f>
        <v>1981</v>
      </c>
      <c r="U85" s="4">
        <f>Table1[[#This Row],[Market_Budget]]/Table1[[#This Row],[Clicks]]</f>
        <v>0.40339215686274515</v>
      </c>
      <c r="V85" s="4">
        <f>IFERROR(Table1[[#This Row],[Market_Budget]]/Table1[[#This Row],[Leads]],0)</f>
        <v>20.169607843137257</v>
      </c>
      <c r="W85" s="4">
        <f>IFERROR(Table1[[#This Row],[Market_Budget]]/Table1[[#This Row],[Orders]],0)</f>
        <v>2057.3000000000002</v>
      </c>
      <c r="X85" s="15">
        <f>(Table1[[#This Row],[Revenue]]-Table1[[#This Row],[Market_Budget]])/Table1[[#This Row],[Market_Budget]]</f>
        <v>-3.7087444709084809E-2</v>
      </c>
      <c r="Y85" s="5">
        <f>Table1[[#This Row],[Revenue]]-Table1[[#This Row],[Market_Budget]]</f>
        <v>-76.300000000000182</v>
      </c>
    </row>
    <row r="86" spans="1:25" x14ac:dyDescent="0.35">
      <c r="A86">
        <v>4387490</v>
      </c>
      <c r="B86" s="1">
        <v>44235</v>
      </c>
      <c r="C86" s="1" t="str">
        <f>TEXT(Table1[[#This Row],[Date]],"dddd")</f>
        <v>Monday</v>
      </c>
      <c r="D86" s="1" t="str">
        <f>IF(WEEKDAY(Table1[[#This Row],[Date]],2)&gt;5,"Weekend","Weekday")</f>
        <v>Weekday</v>
      </c>
      <c r="E86" t="s">
        <v>43</v>
      </c>
      <c r="F86" t="str">
        <f>_xlfn.TEXTAFTER(Table1[[#This Row],[Campaign_Name]],"_")</f>
        <v>Retargeting</v>
      </c>
      <c r="G86" t="str">
        <f>IF(ISNUMBER(SEARCH("Tier1",Table1[[#This Row],[Campaign_Name]])),"Tier1",IF(ISNUMBER(SEARCH("Tier2",Table1[[#This Row],[Campaign_Name]])),"Tier2","Not Applicable"))</f>
        <v>Not Applicable</v>
      </c>
      <c r="H86" t="s">
        <v>61</v>
      </c>
      <c r="I86" s="3">
        <v>4336.04</v>
      </c>
      <c r="J86" s="7">
        <v>10067</v>
      </c>
      <c r="K86" s="7">
        <v>302</v>
      </c>
      <c r="L86" s="7">
        <v>10</v>
      </c>
      <c r="M86" s="7">
        <v>2</v>
      </c>
      <c r="N86" s="2">
        <v>10036</v>
      </c>
      <c r="O86" s="6">
        <f>Table1[[#This Row],[Clicks]]/Table1[[#This Row],[Impressions]]</f>
        <v>2.999900665540876E-2</v>
      </c>
      <c r="P86" s="6">
        <f>Table1[[#This Row],[Leads]]/Table1[[#This Row],[Clicks]]</f>
        <v>3.3112582781456956E-2</v>
      </c>
      <c r="Q86" s="6" t="str">
        <f>IF(Table1[[#This Row],[Conversion1]]&gt;=2%,"High","Low")</f>
        <v>High</v>
      </c>
      <c r="R86" s="6">
        <f>IFERROR(Table1[[#This Row],[Orders]]/Table1[[#This Row],[Leads]],0)</f>
        <v>0.2</v>
      </c>
      <c r="S86" s="6" t="str">
        <f>IF(Table1[[#This Row],[Conversion2]]&gt;=15%,"High","Low")</f>
        <v>High</v>
      </c>
      <c r="T86" s="4">
        <f>IFERROR(Table1[[#This Row],[Revenue]]/Table1[[#This Row],[Orders]],0)</f>
        <v>5018</v>
      </c>
      <c r="U86" s="4">
        <f>Table1[[#This Row],[Market_Budget]]/Table1[[#This Row],[Clicks]]</f>
        <v>14.357748344370862</v>
      </c>
      <c r="V86" s="4">
        <f>IFERROR(Table1[[#This Row],[Market_Budget]]/Table1[[#This Row],[Leads]],0)</f>
        <v>433.60399999999998</v>
      </c>
      <c r="W86" s="4">
        <f>IFERROR(Table1[[#This Row],[Market_Budget]]/Table1[[#This Row],[Orders]],0)</f>
        <v>2168.02</v>
      </c>
      <c r="X86" s="15">
        <f>(Table1[[#This Row],[Revenue]]-Table1[[#This Row],[Market_Budget]])/Table1[[#This Row],[Market_Budget]]</f>
        <v>1.3145542937795778</v>
      </c>
      <c r="Y86" s="5">
        <f>Table1[[#This Row],[Revenue]]-Table1[[#This Row],[Market_Budget]]</f>
        <v>5699.96</v>
      </c>
    </row>
    <row r="87" spans="1:25" x14ac:dyDescent="0.35">
      <c r="A87">
        <v>544756</v>
      </c>
      <c r="B87" s="1">
        <v>44235</v>
      </c>
      <c r="C87" s="1" t="str">
        <f>TEXT(Table1[[#This Row],[Date]],"dddd")</f>
        <v>Monday</v>
      </c>
      <c r="D87" s="1" t="str">
        <f>IF(WEEKDAY(Table1[[#This Row],[Date]],2)&gt;5,"Weekend","Weekday")</f>
        <v>Weekday</v>
      </c>
      <c r="E87" t="s">
        <v>44</v>
      </c>
      <c r="F87" t="str">
        <f>_xlfn.TEXTAFTER(Table1[[#This Row],[Campaign_Name]],"_")</f>
        <v>Lal</v>
      </c>
      <c r="G87" t="str">
        <f>IF(ISNUMBER(SEARCH("Tier1",Table1[[#This Row],[Campaign_Name]])),"Tier1",IF(ISNUMBER(SEARCH("Tier2",Table1[[#This Row],[Campaign_Name]])),"Tier2","Not Applicable"))</f>
        <v>Not Applicable</v>
      </c>
      <c r="H87" t="s">
        <v>61</v>
      </c>
      <c r="I87" s="3">
        <v>40099</v>
      </c>
      <c r="J87" s="7">
        <v>120200</v>
      </c>
      <c r="K87" s="7">
        <v>1202</v>
      </c>
      <c r="L87" s="7">
        <v>24</v>
      </c>
      <c r="M87" s="7">
        <v>5</v>
      </c>
      <c r="N87" s="2">
        <v>4905</v>
      </c>
      <c r="O87" s="6">
        <f>Table1[[#This Row],[Clicks]]/Table1[[#This Row],[Impressions]]</f>
        <v>0.01</v>
      </c>
      <c r="P87" s="6">
        <f>Table1[[#This Row],[Leads]]/Table1[[#This Row],[Clicks]]</f>
        <v>1.9966722129783693E-2</v>
      </c>
      <c r="Q87" s="6" t="str">
        <f>IF(Table1[[#This Row],[Conversion1]]&gt;=2%,"High","Low")</f>
        <v>Low</v>
      </c>
      <c r="R87" s="6">
        <f>IFERROR(Table1[[#This Row],[Orders]]/Table1[[#This Row],[Leads]],0)</f>
        <v>0.20833333333333334</v>
      </c>
      <c r="S87" s="6" t="str">
        <f>IF(Table1[[#This Row],[Conversion2]]&gt;=15%,"High","Low")</f>
        <v>High</v>
      </c>
      <c r="T87" s="4">
        <f>IFERROR(Table1[[#This Row],[Revenue]]/Table1[[#This Row],[Orders]],0)</f>
        <v>981</v>
      </c>
      <c r="U87" s="4">
        <f>Table1[[#This Row],[Market_Budget]]/Table1[[#This Row],[Clicks]]</f>
        <v>33.360232945091511</v>
      </c>
      <c r="V87" s="4">
        <f>IFERROR(Table1[[#This Row],[Market_Budget]]/Table1[[#This Row],[Leads]],0)</f>
        <v>1670.7916666666667</v>
      </c>
      <c r="W87" s="4">
        <f>IFERROR(Table1[[#This Row],[Market_Budget]]/Table1[[#This Row],[Orders]],0)</f>
        <v>8019.8</v>
      </c>
      <c r="X87" s="15">
        <f>(Table1[[#This Row],[Revenue]]-Table1[[#This Row],[Market_Budget]])/Table1[[#This Row],[Market_Budget]]</f>
        <v>-0.87767774757475248</v>
      </c>
      <c r="Y87" s="5">
        <f>Table1[[#This Row],[Revenue]]-Table1[[#This Row],[Market_Budget]]</f>
        <v>-35194</v>
      </c>
    </row>
    <row r="88" spans="1:25" x14ac:dyDescent="0.35">
      <c r="A88">
        <v>374754</v>
      </c>
      <c r="B88" s="1">
        <v>44235</v>
      </c>
      <c r="C88" s="1" t="str">
        <f>TEXT(Table1[[#This Row],[Date]],"dddd")</f>
        <v>Monday</v>
      </c>
      <c r="D88" s="1" t="str">
        <f>IF(WEEKDAY(Table1[[#This Row],[Date]],2)&gt;5,"Weekend","Weekday")</f>
        <v>Weekday</v>
      </c>
      <c r="E88" t="s">
        <v>45</v>
      </c>
      <c r="F88" t="str">
        <f>_xlfn.TEXTAFTER(Table1[[#This Row],[Campaign_Name]],"_")</f>
        <v>Blogger</v>
      </c>
      <c r="G88" t="str">
        <f>IF(ISNUMBER(SEARCH("Tier1",Table1[[#This Row],[Campaign_Name]])),"Tier1",IF(ISNUMBER(SEARCH("Tier2",Table1[[#This Row],[Campaign_Name]])),"Tier2","Not Applicable"))</f>
        <v>Not Applicable</v>
      </c>
      <c r="H88" t="s">
        <v>48</v>
      </c>
      <c r="I88" s="3">
        <v>31154.3</v>
      </c>
      <c r="J88" s="7">
        <v>361650</v>
      </c>
      <c r="K88" s="7">
        <v>2991</v>
      </c>
      <c r="L88" s="7">
        <v>60</v>
      </c>
      <c r="M88" s="7">
        <v>9</v>
      </c>
      <c r="N88" s="2">
        <v>45027</v>
      </c>
      <c r="O88" s="6">
        <f>Table1[[#This Row],[Clicks]]/Table1[[#This Row],[Impressions]]</f>
        <v>8.2704272086271263E-3</v>
      </c>
      <c r="P88" s="6">
        <f>Table1[[#This Row],[Leads]]/Table1[[#This Row],[Clicks]]</f>
        <v>2.0060180541624874E-2</v>
      </c>
      <c r="Q88" s="6" t="str">
        <f>IF(Table1[[#This Row],[Conversion1]]&gt;=2%,"High","Low")</f>
        <v>High</v>
      </c>
      <c r="R88" s="6">
        <f>IFERROR(Table1[[#This Row],[Orders]]/Table1[[#This Row],[Leads]],0)</f>
        <v>0.15</v>
      </c>
      <c r="S88" s="6" t="str">
        <f>IF(Table1[[#This Row],[Conversion2]]&gt;=15%,"High","Low")</f>
        <v>High</v>
      </c>
      <c r="T88" s="4">
        <f>IFERROR(Table1[[#This Row],[Revenue]]/Table1[[#This Row],[Orders]],0)</f>
        <v>5003</v>
      </c>
      <c r="U88" s="4">
        <f>Table1[[#This Row],[Market_Budget]]/Table1[[#This Row],[Clicks]]</f>
        <v>10.416014710799063</v>
      </c>
      <c r="V88" s="4">
        <f>IFERROR(Table1[[#This Row],[Market_Budget]]/Table1[[#This Row],[Leads]],0)</f>
        <v>519.23833333333334</v>
      </c>
      <c r="W88" s="4">
        <f>IFERROR(Table1[[#This Row],[Market_Budget]]/Table1[[#This Row],[Orders]],0)</f>
        <v>3461.588888888889</v>
      </c>
      <c r="X88" s="15">
        <f>(Table1[[#This Row],[Revenue]]-Table1[[#This Row],[Market_Budget]])/Table1[[#This Row],[Market_Budget]]</f>
        <v>0.44529005626831614</v>
      </c>
      <c r="Y88" s="5">
        <f>Table1[[#This Row],[Revenue]]-Table1[[#This Row],[Market_Budget]]</f>
        <v>13872.7</v>
      </c>
    </row>
    <row r="89" spans="1:25" x14ac:dyDescent="0.35">
      <c r="A89">
        <v>39889</v>
      </c>
      <c r="B89" s="1">
        <v>44235</v>
      </c>
      <c r="C89" s="1" t="str">
        <f>TEXT(Table1[[#This Row],[Date]],"dddd")</f>
        <v>Monday</v>
      </c>
      <c r="D89" s="1" t="str">
        <f>IF(WEEKDAY(Table1[[#This Row],[Date]],2)&gt;5,"Weekend","Weekday")</f>
        <v>Weekday</v>
      </c>
      <c r="E89" t="s">
        <v>46</v>
      </c>
      <c r="F89" t="str">
        <f>_xlfn.TEXTAFTER(Table1[[#This Row],[Campaign_Name]],"_")</f>
        <v>Partner</v>
      </c>
      <c r="G89" t="str">
        <f>IF(ISNUMBER(SEARCH("Tier1",Table1[[#This Row],[Campaign_Name]])),"Tier1",IF(ISNUMBER(SEARCH("Tier2",Table1[[#This Row],[Campaign_Name]])),"Tier2","Not Applicable"))</f>
        <v>Not Applicable</v>
      </c>
      <c r="H89" t="s">
        <v>62</v>
      </c>
      <c r="I89" s="3">
        <v>31883.9</v>
      </c>
      <c r="J89" s="7">
        <v>2233790</v>
      </c>
      <c r="K89" s="7">
        <v>4197</v>
      </c>
      <c r="L89" s="7">
        <v>84</v>
      </c>
      <c r="M89" s="7">
        <v>10</v>
      </c>
      <c r="N89" s="2">
        <v>42280</v>
      </c>
      <c r="O89" s="6">
        <f>Table1[[#This Row],[Clicks]]/Table1[[#This Row],[Impressions]]</f>
        <v>1.8788695445856594E-3</v>
      </c>
      <c r="P89" s="6">
        <f>Table1[[#This Row],[Leads]]/Table1[[#This Row],[Clicks]]</f>
        <v>2.0014295925661188E-2</v>
      </c>
      <c r="Q89" s="6" t="str">
        <f>IF(Table1[[#This Row],[Conversion1]]&gt;=2%,"High","Low")</f>
        <v>High</v>
      </c>
      <c r="R89" s="6">
        <f>IFERROR(Table1[[#This Row],[Orders]]/Table1[[#This Row],[Leads]],0)</f>
        <v>0.11904761904761904</v>
      </c>
      <c r="S89" s="6" t="str">
        <f>IF(Table1[[#This Row],[Conversion2]]&gt;=15%,"High","Low")</f>
        <v>Low</v>
      </c>
      <c r="T89" s="4">
        <f>IFERROR(Table1[[#This Row],[Revenue]]/Table1[[#This Row],[Orders]],0)</f>
        <v>4228</v>
      </c>
      <c r="U89" s="4">
        <f>Table1[[#This Row],[Market_Budget]]/Table1[[#This Row],[Clicks]]</f>
        <v>7.5968310698117705</v>
      </c>
      <c r="V89" s="4">
        <f>IFERROR(Table1[[#This Row],[Market_Budget]]/Table1[[#This Row],[Leads]],0)</f>
        <v>379.5702380952381</v>
      </c>
      <c r="W89" s="4">
        <f>IFERROR(Table1[[#This Row],[Market_Budget]]/Table1[[#This Row],[Orders]],0)</f>
        <v>3188.3900000000003</v>
      </c>
      <c r="X89" s="15">
        <f>(Table1[[#This Row],[Revenue]]-Table1[[#This Row],[Market_Budget]])/Table1[[#This Row],[Market_Budget]]</f>
        <v>0.32606111548461758</v>
      </c>
      <c r="Y89" s="5">
        <f>Table1[[#This Row],[Revenue]]-Table1[[#This Row],[Market_Budget]]</f>
        <v>10396.099999999999</v>
      </c>
    </row>
    <row r="90" spans="1:25" x14ac:dyDescent="0.35">
      <c r="A90">
        <v>349043</v>
      </c>
      <c r="B90" s="1">
        <v>44236</v>
      </c>
      <c r="C90" s="1" t="str">
        <f>TEXT(Table1[[#This Row],[Date]],"dddd")</f>
        <v>Tuesday</v>
      </c>
      <c r="D90" s="1" t="str">
        <f>IF(WEEKDAY(Table1[[#This Row],[Date]],2)&gt;5,"Weekend","Weekday")</f>
        <v>Weekday</v>
      </c>
      <c r="E90" t="s">
        <v>36</v>
      </c>
      <c r="F90" t="str">
        <f>_xlfn.TEXTAFTER(Table1[[#This Row],[Campaign_Name]],"_")</f>
        <v>Tier1</v>
      </c>
      <c r="G90" t="str">
        <f>IF(ISNUMBER(SEARCH("Tier1",Table1[[#This Row],[Campaign_Name]])),"Tier1",IF(ISNUMBER(SEARCH("Tier2",Table1[[#This Row],[Campaign_Name]])),"Tier2","Not Applicable"))</f>
        <v>Tier1</v>
      </c>
      <c r="H90" t="s">
        <v>61</v>
      </c>
      <c r="I90" s="3">
        <v>49036.5</v>
      </c>
      <c r="J90" s="7">
        <v>478600</v>
      </c>
      <c r="K90" s="7">
        <v>2393</v>
      </c>
      <c r="L90" s="7">
        <v>68</v>
      </c>
      <c r="M90" s="7">
        <v>9</v>
      </c>
      <c r="N90" s="2">
        <v>42813</v>
      </c>
      <c r="O90" s="6">
        <f>Table1[[#This Row],[Clicks]]/Table1[[#This Row],[Impressions]]</f>
        <v>5.0000000000000001E-3</v>
      </c>
      <c r="P90" s="6">
        <f>Table1[[#This Row],[Leads]]/Table1[[#This Row],[Clicks]]</f>
        <v>2.8416213957375678E-2</v>
      </c>
      <c r="Q90" s="6" t="str">
        <f>IF(Table1[[#This Row],[Conversion1]]&gt;=2%,"High","Low")</f>
        <v>High</v>
      </c>
      <c r="R90" s="6">
        <f>IFERROR(Table1[[#This Row],[Orders]]/Table1[[#This Row],[Leads]],0)</f>
        <v>0.13235294117647059</v>
      </c>
      <c r="S90" s="6" t="str">
        <f>IF(Table1[[#This Row],[Conversion2]]&gt;=15%,"High","Low")</f>
        <v>Low</v>
      </c>
      <c r="T90" s="4">
        <f>IFERROR(Table1[[#This Row],[Revenue]]/Table1[[#This Row],[Orders]],0)</f>
        <v>4757</v>
      </c>
      <c r="U90" s="4">
        <f>Table1[[#This Row],[Market_Budget]]/Table1[[#This Row],[Clicks]]</f>
        <v>20.491642290012535</v>
      </c>
      <c r="V90" s="4">
        <f>IFERROR(Table1[[#This Row],[Market_Budget]]/Table1[[#This Row],[Leads]],0)</f>
        <v>721.125</v>
      </c>
      <c r="W90" s="4">
        <f>IFERROR(Table1[[#This Row],[Market_Budget]]/Table1[[#This Row],[Orders]],0)</f>
        <v>5448.5</v>
      </c>
      <c r="X90" s="15">
        <f>(Table1[[#This Row],[Revenue]]-Table1[[#This Row],[Market_Budget]])/Table1[[#This Row],[Market_Budget]]</f>
        <v>-0.1269156648618886</v>
      </c>
      <c r="Y90" s="5">
        <f>Table1[[#This Row],[Revenue]]-Table1[[#This Row],[Market_Budget]]</f>
        <v>-6223.5</v>
      </c>
    </row>
    <row r="91" spans="1:25" x14ac:dyDescent="0.35">
      <c r="A91">
        <v>348934</v>
      </c>
      <c r="B91" s="1">
        <v>44236</v>
      </c>
      <c r="C91" s="1" t="str">
        <f>TEXT(Table1[[#This Row],[Date]],"dddd")</f>
        <v>Tuesday</v>
      </c>
      <c r="D91" s="1" t="str">
        <f>IF(WEEKDAY(Table1[[#This Row],[Date]],2)&gt;5,"Weekend","Weekday")</f>
        <v>Weekday</v>
      </c>
      <c r="E91" t="s">
        <v>37</v>
      </c>
      <c r="F91" t="str">
        <f>_xlfn.TEXTAFTER(Table1[[#This Row],[Campaign_Name]],"_")</f>
        <v>Tier2</v>
      </c>
      <c r="G91" t="str">
        <f>IF(ISNUMBER(SEARCH("Tier1",Table1[[#This Row],[Campaign_Name]])),"Tier1",IF(ISNUMBER(SEARCH("Tier2",Table1[[#This Row],[Campaign_Name]])),"Tier2","Not Applicable"))</f>
        <v>Tier2</v>
      </c>
      <c r="H91" t="s">
        <v>61</v>
      </c>
      <c r="I91" s="3">
        <v>62119.4</v>
      </c>
      <c r="J91" s="7">
        <v>555116</v>
      </c>
      <c r="K91" s="7">
        <v>3303</v>
      </c>
      <c r="L91" s="7">
        <v>96</v>
      </c>
      <c r="M91" s="7">
        <v>11</v>
      </c>
      <c r="N91" s="2">
        <v>54791</v>
      </c>
      <c r="O91" s="6">
        <f>Table1[[#This Row],[Clicks]]/Table1[[#This Row],[Impressions]]</f>
        <v>5.9501077252322038E-3</v>
      </c>
      <c r="P91" s="6">
        <f>Table1[[#This Row],[Leads]]/Table1[[#This Row],[Clicks]]</f>
        <v>2.9064486830154404E-2</v>
      </c>
      <c r="Q91" s="6" t="str">
        <f>IF(Table1[[#This Row],[Conversion1]]&gt;=2%,"High","Low")</f>
        <v>High</v>
      </c>
      <c r="R91" s="6">
        <f>IFERROR(Table1[[#This Row],[Orders]]/Table1[[#This Row],[Leads]],0)</f>
        <v>0.11458333333333333</v>
      </c>
      <c r="S91" s="6" t="str">
        <f>IF(Table1[[#This Row],[Conversion2]]&gt;=15%,"High","Low")</f>
        <v>Low</v>
      </c>
      <c r="T91" s="4">
        <f>IFERROR(Table1[[#This Row],[Revenue]]/Table1[[#This Row],[Orders]],0)</f>
        <v>4981</v>
      </c>
      <c r="U91" s="4">
        <f>Table1[[#This Row],[Market_Budget]]/Table1[[#This Row],[Clicks]]</f>
        <v>18.806963366636392</v>
      </c>
      <c r="V91" s="4">
        <f>IFERROR(Table1[[#This Row],[Market_Budget]]/Table1[[#This Row],[Leads]],0)</f>
        <v>647.07708333333335</v>
      </c>
      <c r="W91" s="4">
        <f>IFERROR(Table1[[#This Row],[Market_Budget]]/Table1[[#This Row],[Orders]],0)</f>
        <v>5647.2181818181816</v>
      </c>
      <c r="X91" s="15">
        <f>(Table1[[#This Row],[Revenue]]-Table1[[#This Row],[Market_Budget]])/Table1[[#This Row],[Market_Budget]]</f>
        <v>-0.11797280720676634</v>
      </c>
      <c r="Y91" s="5">
        <f>Table1[[#This Row],[Revenue]]-Table1[[#This Row],[Market_Budget]]</f>
        <v>-7328.4000000000015</v>
      </c>
    </row>
    <row r="92" spans="1:25" x14ac:dyDescent="0.35">
      <c r="A92">
        <v>89459845</v>
      </c>
      <c r="B92" s="1">
        <v>44236</v>
      </c>
      <c r="C92" s="1" t="str">
        <f>TEXT(Table1[[#This Row],[Date]],"dddd")</f>
        <v>Tuesday</v>
      </c>
      <c r="D92" s="1" t="str">
        <f>IF(WEEKDAY(Table1[[#This Row],[Date]],2)&gt;5,"Weekend","Weekday")</f>
        <v>Weekday</v>
      </c>
      <c r="E92" t="s">
        <v>38</v>
      </c>
      <c r="F92" t="str">
        <f>_xlfn.TEXTAFTER(Table1[[#This Row],[Campaign_Name]],"_")</f>
        <v>Hot</v>
      </c>
      <c r="G92" t="str">
        <f>IF(ISNUMBER(SEARCH("Tier1",Table1[[#This Row],[Campaign_Name]])),"Tier1",IF(ISNUMBER(SEARCH("Tier2",Table1[[#This Row],[Campaign_Name]])),"Tier2","Not Applicable"))</f>
        <v>Not Applicable</v>
      </c>
      <c r="H92" t="s">
        <v>47</v>
      </c>
      <c r="I92" s="3">
        <v>3095.21</v>
      </c>
      <c r="J92" s="7">
        <v>44900</v>
      </c>
      <c r="K92" s="7">
        <v>898</v>
      </c>
      <c r="L92" s="7">
        <v>5</v>
      </c>
      <c r="M92" s="7">
        <v>1</v>
      </c>
      <c r="N92" s="2">
        <v>7998</v>
      </c>
      <c r="O92" s="6">
        <f>Table1[[#This Row],[Clicks]]/Table1[[#This Row],[Impressions]]</f>
        <v>0.02</v>
      </c>
      <c r="P92" s="6">
        <f>Table1[[#This Row],[Leads]]/Table1[[#This Row],[Clicks]]</f>
        <v>5.5679287305122494E-3</v>
      </c>
      <c r="Q92" s="6" t="str">
        <f>IF(Table1[[#This Row],[Conversion1]]&gt;=2%,"High","Low")</f>
        <v>Low</v>
      </c>
      <c r="R92" s="6">
        <f>IFERROR(Table1[[#This Row],[Orders]]/Table1[[#This Row],[Leads]],0)</f>
        <v>0.2</v>
      </c>
      <c r="S92" s="6" t="str">
        <f>IF(Table1[[#This Row],[Conversion2]]&gt;=15%,"High","Low")</f>
        <v>High</v>
      </c>
      <c r="T92" s="4">
        <f>IFERROR(Table1[[#This Row],[Revenue]]/Table1[[#This Row],[Orders]],0)</f>
        <v>7998</v>
      </c>
      <c r="U92" s="4">
        <f>Table1[[#This Row],[Market_Budget]]/Table1[[#This Row],[Clicks]]</f>
        <v>3.4467817371937639</v>
      </c>
      <c r="V92" s="4">
        <f>IFERROR(Table1[[#This Row],[Market_Budget]]/Table1[[#This Row],[Leads]],0)</f>
        <v>619.04200000000003</v>
      </c>
      <c r="W92" s="4">
        <f>IFERROR(Table1[[#This Row],[Market_Budget]]/Table1[[#This Row],[Orders]],0)</f>
        <v>3095.21</v>
      </c>
      <c r="X92" s="15">
        <f>(Table1[[#This Row],[Revenue]]-Table1[[#This Row],[Market_Budget]])/Table1[[#This Row],[Market_Budget]]</f>
        <v>1.5839926854720681</v>
      </c>
      <c r="Y92" s="5">
        <f>Table1[[#This Row],[Revenue]]-Table1[[#This Row],[Market_Budget]]</f>
        <v>4902.79</v>
      </c>
    </row>
    <row r="93" spans="1:25" x14ac:dyDescent="0.35">
      <c r="A93">
        <v>127823</v>
      </c>
      <c r="B93" s="1">
        <v>44236</v>
      </c>
      <c r="C93" s="1" t="str">
        <f>TEXT(Table1[[#This Row],[Date]],"dddd")</f>
        <v>Tuesday</v>
      </c>
      <c r="D93" s="1" t="str">
        <f>IF(WEEKDAY(Table1[[#This Row],[Date]],2)&gt;5,"Weekend","Weekday")</f>
        <v>Weekday</v>
      </c>
      <c r="E93" t="s">
        <v>39</v>
      </c>
      <c r="F93" t="str">
        <f>_xlfn.TEXTAFTER(Table1[[#This Row],[Campaign_Name]],"_")</f>
        <v>Wide</v>
      </c>
      <c r="G93" t="str">
        <f>IF(ISNUMBER(SEARCH("Tier1",Table1[[#This Row],[Campaign_Name]])),"Tier1",IF(ISNUMBER(SEARCH("Tier2",Table1[[#This Row],[Campaign_Name]])),"Tier2","Not Applicable"))</f>
        <v>Not Applicable</v>
      </c>
      <c r="H93" t="s">
        <v>47</v>
      </c>
      <c r="I93" s="3">
        <v>20299.3</v>
      </c>
      <c r="J93" s="7">
        <v>478600</v>
      </c>
      <c r="K93" s="7">
        <v>2393</v>
      </c>
      <c r="L93" s="7">
        <v>48</v>
      </c>
      <c r="M93" s="7">
        <v>5</v>
      </c>
      <c r="N93" s="2">
        <v>14905</v>
      </c>
      <c r="O93" s="6">
        <f>Table1[[#This Row],[Clicks]]/Table1[[#This Row],[Impressions]]</f>
        <v>5.0000000000000001E-3</v>
      </c>
      <c r="P93" s="6">
        <f>Table1[[#This Row],[Leads]]/Table1[[#This Row],[Clicks]]</f>
        <v>2.0058503969912243E-2</v>
      </c>
      <c r="Q93" s="6" t="str">
        <f>IF(Table1[[#This Row],[Conversion1]]&gt;=2%,"High","Low")</f>
        <v>High</v>
      </c>
      <c r="R93" s="6">
        <f>IFERROR(Table1[[#This Row],[Orders]]/Table1[[#This Row],[Leads]],0)</f>
        <v>0.10416666666666667</v>
      </c>
      <c r="S93" s="6" t="str">
        <f>IF(Table1[[#This Row],[Conversion2]]&gt;=15%,"High","Low")</f>
        <v>Low</v>
      </c>
      <c r="T93" s="4">
        <f>IFERROR(Table1[[#This Row],[Revenue]]/Table1[[#This Row],[Orders]],0)</f>
        <v>2981</v>
      </c>
      <c r="U93" s="4">
        <f>Table1[[#This Row],[Market_Budget]]/Table1[[#This Row],[Clicks]]</f>
        <v>8.482783117425825</v>
      </c>
      <c r="V93" s="4">
        <f>IFERROR(Table1[[#This Row],[Market_Budget]]/Table1[[#This Row],[Leads]],0)</f>
        <v>422.90208333333334</v>
      </c>
      <c r="W93" s="4">
        <f>IFERROR(Table1[[#This Row],[Market_Budget]]/Table1[[#This Row],[Orders]],0)</f>
        <v>4059.8599999999997</v>
      </c>
      <c r="X93" s="15">
        <f>(Table1[[#This Row],[Revenue]]-Table1[[#This Row],[Market_Budget]])/Table1[[#This Row],[Market_Budget]]</f>
        <v>-0.2657382274265615</v>
      </c>
      <c r="Y93" s="5">
        <f>Table1[[#This Row],[Revenue]]-Table1[[#This Row],[Market_Budget]]</f>
        <v>-5394.2999999999993</v>
      </c>
    </row>
    <row r="94" spans="1:25" x14ac:dyDescent="0.35">
      <c r="A94">
        <v>10934</v>
      </c>
      <c r="B94" s="1">
        <v>44236</v>
      </c>
      <c r="C94" s="1" t="str">
        <f>TEXT(Table1[[#This Row],[Date]],"dddd")</f>
        <v>Tuesday</v>
      </c>
      <c r="D94" s="1" t="str">
        <f>IF(WEEKDAY(Table1[[#This Row],[Date]],2)&gt;5,"Weekend","Weekday")</f>
        <v>Weekday</v>
      </c>
      <c r="E94" t="s">
        <v>40</v>
      </c>
      <c r="F94" t="str">
        <f>_xlfn.TEXTAFTER(Table1[[#This Row],[Campaign_Name]],"_")</f>
        <v>Blogger</v>
      </c>
      <c r="G94" t="str">
        <f>IF(ISNUMBER(SEARCH("Tier1",Table1[[#This Row],[Campaign_Name]])),"Tier1",IF(ISNUMBER(SEARCH("Tier2",Table1[[#This Row],[Campaign_Name]])),"Tier2","Not Applicable"))</f>
        <v>Not Applicable</v>
      </c>
      <c r="H94" t="s">
        <v>48</v>
      </c>
      <c r="I94" s="3">
        <v>27833</v>
      </c>
      <c r="J94" s="7">
        <v>491821</v>
      </c>
      <c r="K94" s="7">
        <v>4495</v>
      </c>
      <c r="L94" s="7">
        <v>90</v>
      </c>
      <c r="M94" s="7">
        <v>18</v>
      </c>
      <c r="N94" s="2">
        <v>143658</v>
      </c>
      <c r="O94" s="6">
        <f>Table1[[#This Row],[Clicks]]/Table1[[#This Row],[Impressions]]</f>
        <v>9.1395040065389652E-3</v>
      </c>
      <c r="P94" s="6">
        <f>Table1[[#This Row],[Leads]]/Table1[[#This Row],[Clicks]]</f>
        <v>2.0022246941045607E-2</v>
      </c>
      <c r="Q94" s="6" t="str">
        <f>IF(Table1[[#This Row],[Conversion1]]&gt;=2%,"High","Low")</f>
        <v>High</v>
      </c>
      <c r="R94" s="6">
        <f>IFERROR(Table1[[#This Row],[Orders]]/Table1[[#This Row],[Leads]],0)</f>
        <v>0.2</v>
      </c>
      <c r="S94" s="6" t="str">
        <f>IF(Table1[[#This Row],[Conversion2]]&gt;=15%,"High","Low")</f>
        <v>High</v>
      </c>
      <c r="T94" s="4">
        <f>IFERROR(Table1[[#This Row],[Revenue]]/Table1[[#This Row],[Orders]],0)</f>
        <v>7981</v>
      </c>
      <c r="U94" s="4">
        <f>Table1[[#This Row],[Market_Budget]]/Table1[[#This Row],[Clicks]]</f>
        <v>6.1919911012235813</v>
      </c>
      <c r="V94" s="4">
        <f>IFERROR(Table1[[#This Row],[Market_Budget]]/Table1[[#This Row],[Leads]],0)</f>
        <v>309.25555555555553</v>
      </c>
      <c r="W94" s="4">
        <f>IFERROR(Table1[[#This Row],[Market_Budget]]/Table1[[#This Row],[Orders]],0)</f>
        <v>1546.2777777777778</v>
      </c>
      <c r="X94" s="15">
        <f>(Table1[[#This Row],[Revenue]]-Table1[[#This Row],[Market_Budget]])/Table1[[#This Row],[Market_Budget]]</f>
        <v>4.1614270829590776</v>
      </c>
      <c r="Y94" s="5">
        <f>Table1[[#This Row],[Revenue]]-Table1[[#This Row],[Market_Budget]]</f>
        <v>115825</v>
      </c>
    </row>
    <row r="95" spans="1:25" x14ac:dyDescent="0.35">
      <c r="A95">
        <v>9034945</v>
      </c>
      <c r="B95" s="1">
        <v>44236</v>
      </c>
      <c r="C95" s="1" t="str">
        <f>TEXT(Table1[[#This Row],[Date]],"dddd")</f>
        <v>Tuesday</v>
      </c>
      <c r="D95" s="1" t="str">
        <f>IF(WEEKDAY(Table1[[#This Row],[Date]],2)&gt;5,"Weekend","Weekday")</f>
        <v>Weekday</v>
      </c>
      <c r="E95" t="s">
        <v>41</v>
      </c>
      <c r="F95" t="str">
        <f>_xlfn.TEXTAFTER(Table1[[#This Row],[Campaign_Name]],"_")</f>
        <v>Tier1</v>
      </c>
      <c r="G95" t="str">
        <f>IF(ISNUMBER(SEARCH("Tier1",Table1[[#This Row],[Campaign_Name]])),"Tier1",IF(ISNUMBER(SEARCH("Tier2",Table1[[#This Row],[Campaign_Name]])),"Tier2","Not Applicable"))</f>
        <v>Tier1</v>
      </c>
      <c r="H95" t="s">
        <v>61</v>
      </c>
      <c r="I95" s="3">
        <v>10317</v>
      </c>
      <c r="J95" s="7">
        <v>759532</v>
      </c>
      <c r="K95" s="7">
        <v>2701</v>
      </c>
      <c r="L95" s="7">
        <v>19</v>
      </c>
      <c r="M95" s="7">
        <v>3</v>
      </c>
      <c r="N95" s="2">
        <v>19800</v>
      </c>
      <c r="O95" s="6">
        <f>Table1[[#This Row],[Clicks]]/Table1[[#This Row],[Impressions]]</f>
        <v>3.5561372002759595E-3</v>
      </c>
      <c r="P95" s="6">
        <f>Table1[[#This Row],[Leads]]/Table1[[#This Row],[Clicks]]</f>
        <v>7.0344316919659384E-3</v>
      </c>
      <c r="Q95" s="6" t="str">
        <f>IF(Table1[[#This Row],[Conversion1]]&gt;=2%,"High","Low")</f>
        <v>Low</v>
      </c>
      <c r="R95" s="6">
        <f>IFERROR(Table1[[#This Row],[Orders]]/Table1[[#This Row],[Leads]],0)</f>
        <v>0.15789473684210525</v>
      </c>
      <c r="S95" s="6" t="str">
        <f>IF(Table1[[#This Row],[Conversion2]]&gt;=15%,"High","Low")</f>
        <v>High</v>
      </c>
      <c r="T95" s="4">
        <f>IFERROR(Table1[[#This Row],[Revenue]]/Table1[[#This Row],[Orders]],0)</f>
        <v>6600</v>
      </c>
      <c r="U95" s="4">
        <f>Table1[[#This Row],[Market_Budget]]/Table1[[#This Row],[Clicks]]</f>
        <v>3.8196964087375047</v>
      </c>
      <c r="V95" s="4">
        <f>IFERROR(Table1[[#This Row],[Market_Budget]]/Table1[[#This Row],[Leads]],0)</f>
        <v>543</v>
      </c>
      <c r="W95" s="4">
        <f>IFERROR(Table1[[#This Row],[Market_Budget]]/Table1[[#This Row],[Orders]],0)</f>
        <v>3439</v>
      </c>
      <c r="X95" s="15">
        <f>(Table1[[#This Row],[Revenue]]-Table1[[#This Row],[Market_Budget]])/Table1[[#This Row],[Market_Budget]]</f>
        <v>0.91916254725210822</v>
      </c>
      <c r="Y95" s="5">
        <f>Table1[[#This Row],[Revenue]]-Table1[[#This Row],[Market_Budget]]</f>
        <v>9483</v>
      </c>
    </row>
    <row r="96" spans="1:25" x14ac:dyDescent="0.35">
      <c r="A96">
        <v>983498</v>
      </c>
      <c r="B96" s="1">
        <v>44236</v>
      </c>
      <c r="C96" s="1" t="str">
        <f>TEXT(Table1[[#This Row],[Date]],"dddd")</f>
        <v>Tuesday</v>
      </c>
      <c r="D96" s="1" t="str">
        <f>IF(WEEKDAY(Table1[[#This Row],[Date]],2)&gt;5,"Weekend","Weekday")</f>
        <v>Weekday</v>
      </c>
      <c r="E96" t="s">
        <v>42</v>
      </c>
      <c r="F96" t="str">
        <f>_xlfn.TEXTAFTER(Table1[[#This Row],[Campaign_Name]],"_")</f>
        <v>Tier2</v>
      </c>
      <c r="G96" t="str">
        <f>IF(ISNUMBER(SEARCH("Tier1",Table1[[#This Row],[Campaign_Name]])),"Tier1",IF(ISNUMBER(SEARCH("Tier2",Table1[[#This Row],[Campaign_Name]])),"Tier2","Not Applicable"))</f>
        <v>Tier2</v>
      </c>
      <c r="H96" t="s">
        <v>61</v>
      </c>
      <c r="I96" s="3">
        <v>7398.26</v>
      </c>
      <c r="J96" s="7">
        <v>1022000</v>
      </c>
      <c r="K96" s="7">
        <v>5110</v>
      </c>
      <c r="L96" s="7">
        <v>102</v>
      </c>
      <c r="M96" s="7">
        <v>3</v>
      </c>
      <c r="N96" s="2">
        <v>5943</v>
      </c>
      <c r="O96" s="6">
        <f>Table1[[#This Row],[Clicks]]/Table1[[#This Row],[Impressions]]</f>
        <v>5.0000000000000001E-3</v>
      </c>
      <c r="P96" s="6">
        <f>Table1[[#This Row],[Leads]]/Table1[[#This Row],[Clicks]]</f>
        <v>1.9960861056751468E-2</v>
      </c>
      <c r="Q96" s="6" t="str">
        <f>IF(Table1[[#This Row],[Conversion1]]&gt;=2%,"High","Low")</f>
        <v>Low</v>
      </c>
      <c r="R96" s="6">
        <f>IFERROR(Table1[[#This Row],[Orders]]/Table1[[#This Row],[Leads]],0)</f>
        <v>2.9411764705882353E-2</v>
      </c>
      <c r="S96" s="6" t="str">
        <f>IF(Table1[[#This Row],[Conversion2]]&gt;=15%,"High","Low")</f>
        <v>Low</v>
      </c>
      <c r="T96" s="4">
        <f>IFERROR(Table1[[#This Row],[Revenue]]/Table1[[#This Row],[Orders]],0)</f>
        <v>1981</v>
      </c>
      <c r="U96" s="4">
        <f>Table1[[#This Row],[Market_Budget]]/Table1[[#This Row],[Clicks]]</f>
        <v>1.4478003913894326</v>
      </c>
      <c r="V96" s="4">
        <f>IFERROR(Table1[[#This Row],[Market_Budget]]/Table1[[#This Row],[Leads]],0)</f>
        <v>72.531960784313725</v>
      </c>
      <c r="W96" s="4">
        <f>IFERROR(Table1[[#This Row],[Market_Budget]]/Table1[[#This Row],[Orders]],0)</f>
        <v>2466.0866666666666</v>
      </c>
      <c r="X96" s="15">
        <f>(Table1[[#This Row],[Revenue]]-Table1[[#This Row],[Market_Budget]])/Table1[[#This Row],[Market_Budget]]</f>
        <v>-0.19670300854525255</v>
      </c>
      <c r="Y96" s="5">
        <f>Table1[[#This Row],[Revenue]]-Table1[[#This Row],[Market_Budget]]</f>
        <v>-1455.2600000000002</v>
      </c>
    </row>
    <row r="97" spans="1:25" x14ac:dyDescent="0.35">
      <c r="A97">
        <v>4387490</v>
      </c>
      <c r="B97" s="1">
        <v>44236</v>
      </c>
      <c r="C97" s="1" t="str">
        <f>TEXT(Table1[[#This Row],[Date]],"dddd")</f>
        <v>Tuesday</v>
      </c>
      <c r="D97" s="1" t="str">
        <f>IF(WEEKDAY(Table1[[#This Row],[Date]],2)&gt;5,"Weekend","Weekday")</f>
        <v>Weekday</v>
      </c>
      <c r="E97" t="s">
        <v>43</v>
      </c>
      <c r="F97" t="str">
        <f>_xlfn.TEXTAFTER(Table1[[#This Row],[Campaign_Name]],"_")</f>
        <v>Retargeting</v>
      </c>
      <c r="G97" t="str">
        <f>IF(ISNUMBER(SEARCH("Tier1",Table1[[#This Row],[Campaign_Name]])),"Tier1",IF(ISNUMBER(SEARCH("Tier2",Table1[[#This Row],[Campaign_Name]])),"Tier2","Not Applicable"))</f>
        <v>Not Applicable</v>
      </c>
      <c r="H97" t="s">
        <v>61</v>
      </c>
      <c r="I97" s="3">
        <v>2152.37</v>
      </c>
      <c r="J97" s="7">
        <v>9721</v>
      </c>
      <c r="K97" s="7">
        <v>290</v>
      </c>
      <c r="L97" s="7">
        <v>6</v>
      </c>
      <c r="M97" s="7">
        <v>1</v>
      </c>
      <c r="N97" s="2">
        <v>4353</v>
      </c>
      <c r="O97" s="6">
        <f>Table1[[#This Row],[Clicks]]/Table1[[#This Row],[Impressions]]</f>
        <v>2.9832321777594897E-2</v>
      </c>
      <c r="P97" s="6">
        <f>Table1[[#This Row],[Leads]]/Table1[[#This Row],[Clicks]]</f>
        <v>2.0689655172413793E-2</v>
      </c>
      <c r="Q97" s="6" t="str">
        <f>IF(Table1[[#This Row],[Conversion1]]&gt;=2%,"High","Low")</f>
        <v>High</v>
      </c>
      <c r="R97" s="6">
        <f>IFERROR(Table1[[#This Row],[Orders]]/Table1[[#This Row],[Leads]],0)</f>
        <v>0.16666666666666666</v>
      </c>
      <c r="S97" s="6" t="str">
        <f>IF(Table1[[#This Row],[Conversion2]]&gt;=15%,"High","Low")</f>
        <v>High</v>
      </c>
      <c r="T97" s="4">
        <f>IFERROR(Table1[[#This Row],[Revenue]]/Table1[[#This Row],[Orders]],0)</f>
        <v>4353</v>
      </c>
      <c r="U97" s="4">
        <f>Table1[[#This Row],[Market_Budget]]/Table1[[#This Row],[Clicks]]</f>
        <v>7.4219655172413788</v>
      </c>
      <c r="V97" s="4">
        <f>IFERROR(Table1[[#This Row],[Market_Budget]]/Table1[[#This Row],[Leads]],0)</f>
        <v>358.7283333333333</v>
      </c>
      <c r="W97" s="4">
        <f>IFERROR(Table1[[#This Row],[Market_Budget]]/Table1[[#This Row],[Orders]],0)</f>
        <v>2152.37</v>
      </c>
      <c r="X97" s="15">
        <f>(Table1[[#This Row],[Revenue]]-Table1[[#This Row],[Market_Budget]])/Table1[[#This Row],[Market_Budget]]</f>
        <v>1.0224217955091366</v>
      </c>
      <c r="Y97" s="5">
        <f>Table1[[#This Row],[Revenue]]-Table1[[#This Row],[Market_Budget]]</f>
        <v>2200.63</v>
      </c>
    </row>
    <row r="98" spans="1:25" x14ac:dyDescent="0.35">
      <c r="A98">
        <v>544756</v>
      </c>
      <c r="B98" s="1">
        <v>44236</v>
      </c>
      <c r="C98" s="1" t="str">
        <f>TEXT(Table1[[#This Row],[Date]],"dddd")</f>
        <v>Tuesday</v>
      </c>
      <c r="D98" s="1" t="str">
        <f>IF(WEEKDAY(Table1[[#This Row],[Date]],2)&gt;5,"Weekend","Weekday")</f>
        <v>Weekday</v>
      </c>
      <c r="E98" t="s">
        <v>44</v>
      </c>
      <c r="F98" t="str">
        <f>_xlfn.TEXTAFTER(Table1[[#This Row],[Campaign_Name]],"_")</f>
        <v>Lal</v>
      </c>
      <c r="G98" t="str">
        <f>IF(ISNUMBER(SEARCH("Tier1",Table1[[#This Row],[Campaign_Name]])),"Tier1",IF(ISNUMBER(SEARCH("Tier2",Table1[[#This Row],[Campaign_Name]])),"Tier2","Not Applicable"))</f>
        <v>Not Applicable</v>
      </c>
      <c r="H98" t="s">
        <v>61</v>
      </c>
      <c r="I98" s="3">
        <v>29091.4</v>
      </c>
      <c r="J98" s="7">
        <v>189854</v>
      </c>
      <c r="K98" s="7">
        <v>1198</v>
      </c>
      <c r="L98" s="7">
        <v>24</v>
      </c>
      <c r="M98" s="7">
        <v>3</v>
      </c>
      <c r="N98" s="2">
        <v>2943</v>
      </c>
      <c r="O98" s="6">
        <f>Table1[[#This Row],[Clicks]]/Table1[[#This Row],[Impressions]]</f>
        <v>6.3101119807852353E-3</v>
      </c>
      <c r="P98" s="6">
        <f>Table1[[#This Row],[Leads]]/Table1[[#This Row],[Clicks]]</f>
        <v>2.003338898163606E-2</v>
      </c>
      <c r="Q98" s="6" t="str">
        <f>IF(Table1[[#This Row],[Conversion1]]&gt;=2%,"High","Low")</f>
        <v>High</v>
      </c>
      <c r="R98" s="6">
        <f>IFERROR(Table1[[#This Row],[Orders]]/Table1[[#This Row],[Leads]],0)</f>
        <v>0.125</v>
      </c>
      <c r="S98" s="6" t="str">
        <f>IF(Table1[[#This Row],[Conversion2]]&gt;=15%,"High","Low")</f>
        <v>Low</v>
      </c>
      <c r="T98" s="4">
        <f>IFERROR(Table1[[#This Row],[Revenue]]/Table1[[#This Row],[Orders]],0)</f>
        <v>981</v>
      </c>
      <c r="U98" s="4">
        <f>Table1[[#This Row],[Market_Budget]]/Table1[[#This Row],[Clicks]]</f>
        <v>24.283305509181972</v>
      </c>
      <c r="V98" s="4">
        <f>IFERROR(Table1[[#This Row],[Market_Budget]]/Table1[[#This Row],[Leads]],0)</f>
        <v>1212.1416666666667</v>
      </c>
      <c r="W98" s="4">
        <f>IFERROR(Table1[[#This Row],[Market_Budget]]/Table1[[#This Row],[Orders]],0)</f>
        <v>9697.1333333333332</v>
      </c>
      <c r="X98" s="15">
        <f>(Table1[[#This Row],[Revenue]]-Table1[[#This Row],[Market_Budget]])/Table1[[#This Row],[Market_Budget]]</f>
        <v>-0.89883608214111388</v>
      </c>
      <c r="Y98" s="5">
        <f>Table1[[#This Row],[Revenue]]-Table1[[#This Row],[Market_Budget]]</f>
        <v>-26148.400000000001</v>
      </c>
    </row>
    <row r="99" spans="1:25" x14ac:dyDescent="0.35">
      <c r="A99">
        <v>374754</v>
      </c>
      <c r="B99" s="1">
        <v>44236</v>
      </c>
      <c r="C99" s="1" t="str">
        <f>TEXT(Table1[[#This Row],[Date]],"dddd")</f>
        <v>Tuesday</v>
      </c>
      <c r="D99" s="1" t="str">
        <f>IF(WEEKDAY(Table1[[#This Row],[Date]],2)&gt;5,"Weekend","Weekday")</f>
        <v>Weekday</v>
      </c>
      <c r="E99" t="s">
        <v>45</v>
      </c>
      <c r="F99" t="str">
        <f>_xlfn.TEXTAFTER(Table1[[#This Row],[Campaign_Name]],"_")</f>
        <v>Blogger</v>
      </c>
      <c r="G99" t="str">
        <f>IF(ISNUMBER(SEARCH("Tier1",Table1[[#This Row],[Campaign_Name]])),"Tier1",IF(ISNUMBER(SEARCH("Tier2",Table1[[#This Row],[Campaign_Name]])),"Tier2","Not Applicable"))</f>
        <v>Not Applicable</v>
      </c>
      <c r="H99" t="s">
        <v>48</v>
      </c>
      <c r="I99" s="3">
        <v>57642.400000000001</v>
      </c>
      <c r="J99" s="7">
        <v>346068</v>
      </c>
      <c r="K99" s="7">
        <v>3006</v>
      </c>
      <c r="L99" s="7">
        <v>99</v>
      </c>
      <c r="M99" s="7">
        <v>15</v>
      </c>
      <c r="N99" s="2">
        <v>89460</v>
      </c>
      <c r="O99" s="6">
        <f>Table1[[#This Row],[Clicks]]/Table1[[#This Row],[Impressions]]</f>
        <v>8.6861541662332266E-3</v>
      </c>
      <c r="P99" s="6">
        <f>Table1[[#This Row],[Leads]]/Table1[[#This Row],[Clicks]]</f>
        <v>3.2934131736526949E-2</v>
      </c>
      <c r="Q99" s="6" t="str">
        <f>IF(Table1[[#This Row],[Conversion1]]&gt;=2%,"High","Low")</f>
        <v>High</v>
      </c>
      <c r="R99" s="6">
        <f>IFERROR(Table1[[#This Row],[Orders]]/Table1[[#This Row],[Leads]],0)</f>
        <v>0.15151515151515152</v>
      </c>
      <c r="S99" s="6" t="str">
        <f>IF(Table1[[#This Row],[Conversion2]]&gt;=15%,"High","Low")</f>
        <v>High</v>
      </c>
      <c r="T99" s="4">
        <f>IFERROR(Table1[[#This Row],[Revenue]]/Table1[[#This Row],[Orders]],0)</f>
        <v>5964</v>
      </c>
      <c r="U99" s="4">
        <f>Table1[[#This Row],[Market_Budget]]/Table1[[#This Row],[Clicks]]</f>
        <v>19.175781769793748</v>
      </c>
      <c r="V99" s="4">
        <f>IFERROR(Table1[[#This Row],[Market_Budget]]/Table1[[#This Row],[Leads]],0)</f>
        <v>582.24646464646469</v>
      </c>
      <c r="W99" s="4">
        <f>IFERROR(Table1[[#This Row],[Market_Budget]]/Table1[[#This Row],[Orders]],0)</f>
        <v>3842.8266666666668</v>
      </c>
      <c r="X99" s="15">
        <f>(Table1[[#This Row],[Revenue]]-Table1[[#This Row],[Market_Budget]])/Table1[[#This Row],[Market_Budget]]</f>
        <v>0.55198256838715942</v>
      </c>
      <c r="Y99" s="5">
        <f>Table1[[#This Row],[Revenue]]-Table1[[#This Row],[Market_Budget]]</f>
        <v>31817.599999999999</v>
      </c>
    </row>
    <row r="100" spans="1:25" x14ac:dyDescent="0.35">
      <c r="A100">
        <v>39889</v>
      </c>
      <c r="B100" s="1">
        <v>44236</v>
      </c>
      <c r="C100" s="1" t="str">
        <f>TEXT(Table1[[#This Row],[Date]],"dddd")</f>
        <v>Tuesday</v>
      </c>
      <c r="D100" s="1" t="str">
        <f>IF(WEEKDAY(Table1[[#This Row],[Date]],2)&gt;5,"Weekend","Weekday")</f>
        <v>Weekday</v>
      </c>
      <c r="E100" t="s">
        <v>46</v>
      </c>
      <c r="F100" t="str">
        <f>_xlfn.TEXTAFTER(Table1[[#This Row],[Campaign_Name]],"_")</f>
        <v>Partner</v>
      </c>
      <c r="G100" t="str">
        <f>IF(ISNUMBER(SEARCH("Tier1",Table1[[#This Row],[Campaign_Name]])),"Tier1",IF(ISNUMBER(SEARCH("Tier2",Table1[[#This Row],[Campaign_Name]])),"Tier2","Not Applicable"))</f>
        <v>Not Applicable</v>
      </c>
      <c r="H100" t="s">
        <v>62</v>
      </c>
      <c r="I100" s="3">
        <v>44731.7</v>
      </c>
      <c r="J100" s="7">
        <v>3736884</v>
      </c>
      <c r="K100" s="7">
        <v>4190</v>
      </c>
      <c r="L100" s="7">
        <v>84</v>
      </c>
      <c r="M100" s="7">
        <v>13</v>
      </c>
      <c r="N100" s="2">
        <v>51259</v>
      </c>
      <c r="O100" s="6">
        <f>Table1[[#This Row],[Clicks]]/Table1[[#This Row],[Impressions]]</f>
        <v>1.121255034943552E-3</v>
      </c>
      <c r="P100" s="6">
        <f>Table1[[#This Row],[Leads]]/Table1[[#This Row],[Clicks]]</f>
        <v>2.0047732696897375E-2</v>
      </c>
      <c r="Q100" s="6" t="str">
        <f>IF(Table1[[#This Row],[Conversion1]]&gt;=2%,"High","Low")</f>
        <v>High</v>
      </c>
      <c r="R100" s="6">
        <f>IFERROR(Table1[[#This Row],[Orders]]/Table1[[#This Row],[Leads]],0)</f>
        <v>0.15476190476190477</v>
      </c>
      <c r="S100" s="6" t="str">
        <f>IF(Table1[[#This Row],[Conversion2]]&gt;=15%,"High","Low")</f>
        <v>High</v>
      </c>
      <c r="T100" s="4">
        <f>IFERROR(Table1[[#This Row],[Revenue]]/Table1[[#This Row],[Orders]],0)</f>
        <v>3943</v>
      </c>
      <c r="U100" s="4">
        <f>Table1[[#This Row],[Market_Budget]]/Table1[[#This Row],[Clicks]]</f>
        <v>10.675823389021479</v>
      </c>
      <c r="V100" s="4">
        <f>IFERROR(Table1[[#This Row],[Market_Budget]]/Table1[[#This Row],[Leads]],0)</f>
        <v>532.52023809523803</v>
      </c>
      <c r="W100" s="4">
        <f>IFERROR(Table1[[#This Row],[Market_Budget]]/Table1[[#This Row],[Orders]],0)</f>
        <v>3440.8999999999996</v>
      </c>
      <c r="X100" s="15">
        <f>(Table1[[#This Row],[Revenue]]-Table1[[#This Row],[Market_Budget]])/Table1[[#This Row],[Market_Budget]]</f>
        <v>0.14592112528698895</v>
      </c>
      <c r="Y100" s="5">
        <f>Table1[[#This Row],[Revenue]]-Table1[[#This Row],[Market_Budget]]</f>
        <v>6527.3000000000029</v>
      </c>
    </row>
    <row r="101" spans="1:25" x14ac:dyDescent="0.35">
      <c r="A101">
        <v>349043</v>
      </c>
      <c r="B101" s="1">
        <v>44237</v>
      </c>
      <c r="C101" s="1" t="str">
        <f>TEXT(Table1[[#This Row],[Date]],"dddd")</f>
        <v>Wednesday</v>
      </c>
      <c r="D101" s="1" t="str">
        <f>IF(WEEKDAY(Table1[[#This Row],[Date]],2)&gt;5,"Weekend","Weekday")</f>
        <v>Weekday</v>
      </c>
      <c r="E101" t="s">
        <v>36</v>
      </c>
      <c r="F101" t="str">
        <f>_xlfn.TEXTAFTER(Table1[[#This Row],[Campaign_Name]],"_")</f>
        <v>Tier1</v>
      </c>
      <c r="G101" t="str">
        <f>IF(ISNUMBER(SEARCH("Tier1",Table1[[#This Row],[Campaign_Name]])),"Tier1",IF(ISNUMBER(SEARCH("Tier2",Table1[[#This Row],[Campaign_Name]])),"Tier2","Not Applicable"))</f>
        <v>Tier1</v>
      </c>
      <c r="H101" t="s">
        <v>61</v>
      </c>
      <c r="I101" s="3">
        <v>43386.400000000001</v>
      </c>
      <c r="J101" s="7">
        <v>961800</v>
      </c>
      <c r="K101" s="7">
        <v>4809</v>
      </c>
      <c r="L101" s="7">
        <v>96</v>
      </c>
      <c r="M101" s="7">
        <v>8</v>
      </c>
      <c r="N101" s="2">
        <v>42400</v>
      </c>
      <c r="O101" s="6">
        <f>Table1[[#This Row],[Clicks]]/Table1[[#This Row],[Impressions]]</f>
        <v>5.0000000000000001E-3</v>
      </c>
      <c r="P101" s="6">
        <f>Table1[[#This Row],[Leads]]/Table1[[#This Row],[Clicks]]</f>
        <v>1.9962570180910792E-2</v>
      </c>
      <c r="Q101" s="6" t="str">
        <f>IF(Table1[[#This Row],[Conversion1]]&gt;=2%,"High","Low")</f>
        <v>Low</v>
      </c>
      <c r="R101" s="6">
        <f>IFERROR(Table1[[#This Row],[Orders]]/Table1[[#This Row],[Leads]],0)</f>
        <v>8.3333333333333329E-2</v>
      </c>
      <c r="S101" s="6" t="str">
        <f>IF(Table1[[#This Row],[Conversion2]]&gt;=15%,"High","Low")</f>
        <v>Low</v>
      </c>
      <c r="T101" s="4">
        <f>IFERROR(Table1[[#This Row],[Revenue]]/Table1[[#This Row],[Orders]],0)</f>
        <v>5300</v>
      </c>
      <c r="U101" s="4">
        <f>Table1[[#This Row],[Market_Budget]]/Table1[[#This Row],[Clicks]]</f>
        <v>9.0219172385111257</v>
      </c>
      <c r="V101" s="4">
        <f>IFERROR(Table1[[#This Row],[Market_Budget]]/Table1[[#This Row],[Leads]],0)</f>
        <v>451.94166666666666</v>
      </c>
      <c r="W101" s="4">
        <f>IFERROR(Table1[[#This Row],[Market_Budget]]/Table1[[#This Row],[Orders]],0)</f>
        <v>5423.3</v>
      </c>
      <c r="X101" s="15">
        <f>(Table1[[#This Row],[Revenue]]-Table1[[#This Row],[Market_Budget]])/Table1[[#This Row],[Market_Budget]]</f>
        <v>-2.2735235004517577E-2</v>
      </c>
      <c r="Y101" s="5">
        <f>Table1[[#This Row],[Revenue]]-Table1[[#This Row],[Market_Budget]]</f>
        <v>-986.40000000000146</v>
      </c>
    </row>
    <row r="102" spans="1:25" x14ac:dyDescent="0.35">
      <c r="A102">
        <v>348934</v>
      </c>
      <c r="B102" s="1">
        <v>44237</v>
      </c>
      <c r="C102" s="1" t="str">
        <f>TEXT(Table1[[#This Row],[Date]],"dddd")</f>
        <v>Wednesday</v>
      </c>
      <c r="D102" s="1" t="str">
        <f>IF(WEEKDAY(Table1[[#This Row],[Date]],2)&gt;5,"Weekend","Weekday")</f>
        <v>Weekday</v>
      </c>
      <c r="E102" t="s">
        <v>37</v>
      </c>
      <c r="F102" t="str">
        <f>_xlfn.TEXTAFTER(Table1[[#This Row],[Campaign_Name]],"_")</f>
        <v>Tier2</v>
      </c>
      <c r="G102" t="str">
        <f>IF(ISNUMBER(SEARCH("Tier1",Table1[[#This Row],[Campaign_Name]])),"Tier1",IF(ISNUMBER(SEARCH("Tier2",Table1[[#This Row],[Campaign_Name]])),"Tier2","Not Applicable"))</f>
        <v>Tier2</v>
      </c>
      <c r="H102" t="s">
        <v>61</v>
      </c>
      <c r="I102" s="3">
        <v>43865.9</v>
      </c>
      <c r="J102" s="7">
        <v>852250</v>
      </c>
      <c r="K102" s="7">
        <v>6596</v>
      </c>
      <c r="L102" s="7">
        <v>132</v>
      </c>
      <c r="M102" s="7">
        <v>7</v>
      </c>
      <c r="N102" s="2">
        <v>34867</v>
      </c>
      <c r="O102" s="6">
        <f>Table1[[#This Row],[Clicks]]/Table1[[#This Row],[Impressions]]</f>
        <v>7.7395130536814316E-3</v>
      </c>
      <c r="P102" s="6">
        <f>Table1[[#This Row],[Leads]]/Table1[[#This Row],[Clicks]]</f>
        <v>2.0012128562765311E-2</v>
      </c>
      <c r="Q102" s="6" t="str">
        <f>IF(Table1[[#This Row],[Conversion1]]&gt;=2%,"High","Low")</f>
        <v>High</v>
      </c>
      <c r="R102" s="6">
        <f>IFERROR(Table1[[#This Row],[Orders]]/Table1[[#This Row],[Leads]],0)</f>
        <v>5.3030303030303032E-2</v>
      </c>
      <c r="S102" s="6" t="str">
        <f>IF(Table1[[#This Row],[Conversion2]]&gt;=15%,"High","Low")</f>
        <v>Low</v>
      </c>
      <c r="T102" s="4">
        <f>IFERROR(Table1[[#This Row],[Revenue]]/Table1[[#This Row],[Orders]],0)</f>
        <v>4981</v>
      </c>
      <c r="U102" s="4">
        <f>Table1[[#This Row],[Market_Budget]]/Table1[[#This Row],[Clicks]]</f>
        <v>6.6503790175864159</v>
      </c>
      <c r="V102" s="4">
        <f>IFERROR(Table1[[#This Row],[Market_Budget]]/Table1[[#This Row],[Leads]],0)</f>
        <v>332.31742424242424</v>
      </c>
      <c r="W102" s="4">
        <f>IFERROR(Table1[[#This Row],[Market_Budget]]/Table1[[#This Row],[Orders]],0)</f>
        <v>6266.5571428571429</v>
      </c>
      <c r="X102" s="15">
        <f>(Table1[[#This Row],[Revenue]]-Table1[[#This Row],[Market_Budget]])/Table1[[#This Row],[Market_Budget]]</f>
        <v>-0.20514568263731056</v>
      </c>
      <c r="Y102" s="5">
        <f>Table1[[#This Row],[Revenue]]-Table1[[#This Row],[Market_Budget]]</f>
        <v>-8998.9000000000015</v>
      </c>
    </row>
    <row r="103" spans="1:25" x14ac:dyDescent="0.35">
      <c r="A103">
        <v>89459845</v>
      </c>
      <c r="B103" s="1">
        <v>44237</v>
      </c>
      <c r="C103" s="1" t="str">
        <f>TEXT(Table1[[#This Row],[Date]],"dddd")</f>
        <v>Wednesday</v>
      </c>
      <c r="D103" s="1" t="str">
        <f>IF(WEEKDAY(Table1[[#This Row],[Date]],2)&gt;5,"Weekend","Weekday")</f>
        <v>Weekday</v>
      </c>
      <c r="E103" t="s">
        <v>38</v>
      </c>
      <c r="F103" t="str">
        <f>_xlfn.TEXTAFTER(Table1[[#This Row],[Campaign_Name]],"_")</f>
        <v>Hot</v>
      </c>
      <c r="G103" t="str">
        <f>IF(ISNUMBER(SEARCH("Tier1",Table1[[#This Row],[Campaign_Name]])),"Tier1",IF(ISNUMBER(SEARCH("Tier2",Table1[[#This Row],[Campaign_Name]])),"Tier2","Not Applicable"))</f>
        <v>Not Applicable</v>
      </c>
      <c r="H103" t="s">
        <v>47</v>
      </c>
      <c r="I103" s="3">
        <v>51883.1</v>
      </c>
      <c r="J103" s="7">
        <v>108748</v>
      </c>
      <c r="K103" s="7">
        <v>1797</v>
      </c>
      <c r="L103" s="7">
        <v>57</v>
      </c>
      <c r="M103" s="7">
        <v>11</v>
      </c>
      <c r="N103" s="2">
        <v>86724</v>
      </c>
      <c r="O103" s="6">
        <f>Table1[[#This Row],[Clicks]]/Table1[[#This Row],[Impressions]]</f>
        <v>1.6524441828815243E-2</v>
      </c>
      <c r="P103" s="6">
        <f>Table1[[#This Row],[Leads]]/Table1[[#This Row],[Clicks]]</f>
        <v>3.1719532554257093E-2</v>
      </c>
      <c r="Q103" s="6" t="str">
        <f>IF(Table1[[#This Row],[Conversion1]]&gt;=2%,"High","Low")</f>
        <v>High</v>
      </c>
      <c r="R103" s="6">
        <f>IFERROR(Table1[[#This Row],[Orders]]/Table1[[#This Row],[Leads]],0)</f>
        <v>0.19298245614035087</v>
      </c>
      <c r="S103" s="6" t="str">
        <f>IF(Table1[[#This Row],[Conversion2]]&gt;=15%,"High","Low")</f>
        <v>High</v>
      </c>
      <c r="T103" s="4">
        <f>IFERROR(Table1[[#This Row],[Revenue]]/Table1[[#This Row],[Orders]],0)</f>
        <v>7884</v>
      </c>
      <c r="U103" s="4">
        <f>Table1[[#This Row],[Market_Budget]]/Table1[[#This Row],[Clicks]]</f>
        <v>28.872064552031162</v>
      </c>
      <c r="V103" s="4">
        <f>IFERROR(Table1[[#This Row],[Market_Budget]]/Table1[[#This Row],[Leads]],0)</f>
        <v>910.22982456140346</v>
      </c>
      <c r="W103" s="4">
        <f>IFERROR(Table1[[#This Row],[Market_Budget]]/Table1[[#This Row],[Orders]],0)</f>
        <v>4716.6454545454544</v>
      </c>
      <c r="X103" s="15">
        <f>(Table1[[#This Row],[Revenue]]-Table1[[#This Row],[Market_Budget]])/Table1[[#This Row],[Market_Budget]]</f>
        <v>0.67152695193617962</v>
      </c>
      <c r="Y103" s="5">
        <f>Table1[[#This Row],[Revenue]]-Table1[[#This Row],[Market_Budget]]</f>
        <v>34840.9</v>
      </c>
    </row>
    <row r="104" spans="1:25" x14ac:dyDescent="0.35">
      <c r="A104">
        <v>127823</v>
      </c>
      <c r="B104" s="1">
        <v>44237</v>
      </c>
      <c r="C104" s="1" t="str">
        <f>TEXT(Table1[[#This Row],[Date]],"dddd")</f>
        <v>Wednesday</v>
      </c>
      <c r="D104" s="1" t="str">
        <f>IF(WEEKDAY(Table1[[#This Row],[Date]],2)&gt;5,"Weekend","Weekday")</f>
        <v>Weekday</v>
      </c>
      <c r="E104" t="s">
        <v>39</v>
      </c>
      <c r="F104" t="str">
        <f>_xlfn.TEXTAFTER(Table1[[#This Row],[Campaign_Name]],"_")</f>
        <v>Wide</v>
      </c>
      <c r="G104" t="str">
        <f>IF(ISNUMBER(SEARCH("Tier1",Table1[[#This Row],[Campaign_Name]])),"Tier1",IF(ISNUMBER(SEARCH("Tier2",Table1[[#This Row],[Campaign_Name]])),"Tier2","Not Applicable"))</f>
        <v>Not Applicable</v>
      </c>
      <c r="H104" t="s">
        <v>47</v>
      </c>
      <c r="I104" s="3">
        <v>67577.8</v>
      </c>
      <c r="J104" s="7">
        <v>797238</v>
      </c>
      <c r="K104" s="7">
        <v>4797</v>
      </c>
      <c r="L104" s="7">
        <v>154</v>
      </c>
      <c r="M104" s="7">
        <v>19</v>
      </c>
      <c r="N104" s="2">
        <v>42598</v>
      </c>
      <c r="O104" s="6">
        <f>Table1[[#This Row],[Clicks]]/Table1[[#This Row],[Impressions]]</f>
        <v>6.0170237745817432E-3</v>
      </c>
      <c r="P104" s="6">
        <f>Table1[[#This Row],[Leads]]/Table1[[#This Row],[Clicks]]</f>
        <v>3.2103397957056495E-2</v>
      </c>
      <c r="Q104" s="6" t="str">
        <f>IF(Table1[[#This Row],[Conversion1]]&gt;=2%,"High","Low")</f>
        <v>High</v>
      </c>
      <c r="R104" s="6">
        <f>IFERROR(Table1[[#This Row],[Orders]]/Table1[[#This Row],[Leads]],0)</f>
        <v>0.12337662337662338</v>
      </c>
      <c r="S104" s="6" t="str">
        <f>IF(Table1[[#This Row],[Conversion2]]&gt;=15%,"High","Low")</f>
        <v>Low</v>
      </c>
      <c r="T104" s="4">
        <f>IFERROR(Table1[[#This Row],[Revenue]]/Table1[[#This Row],[Orders]],0)</f>
        <v>2242</v>
      </c>
      <c r="U104" s="4">
        <f>Table1[[#This Row],[Market_Budget]]/Table1[[#This Row],[Clicks]]</f>
        <v>14.087513028976444</v>
      </c>
      <c r="V104" s="4">
        <f>IFERROR(Table1[[#This Row],[Market_Budget]]/Table1[[#This Row],[Leads]],0)</f>
        <v>438.81688311688316</v>
      </c>
      <c r="W104" s="4">
        <f>IFERROR(Table1[[#This Row],[Market_Budget]]/Table1[[#This Row],[Orders]],0)</f>
        <v>3556.726315789474</v>
      </c>
      <c r="X104" s="15">
        <f>(Table1[[#This Row],[Revenue]]-Table1[[#This Row],[Market_Budget]])/Table1[[#This Row],[Market_Budget]]</f>
        <v>-0.36964506095196947</v>
      </c>
      <c r="Y104" s="5">
        <f>Table1[[#This Row],[Revenue]]-Table1[[#This Row],[Market_Budget]]</f>
        <v>-24979.800000000003</v>
      </c>
    </row>
    <row r="105" spans="1:25" x14ac:dyDescent="0.35">
      <c r="A105">
        <v>10934</v>
      </c>
      <c r="B105" s="1">
        <v>44237</v>
      </c>
      <c r="C105" s="1" t="str">
        <f>TEXT(Table1[[#This Row],[Date]],"dddd")</f>
        <v>Wednesday</v>
      </c>
      <c r="D105" s="1" t="str">
        <f>IF(WEEKDAY(Table1[[#This Row],[Date]],2)&gt;5,"Weekend","Weekday")</f>
        <v>Weekday</v>
      </c>
      <c r="E105" t="s">
        <v>40</v>
      </c>
      <c r="F105" t="str">
        <f>_xlfn.TEXTAFTER(Table1[[#This Row],[Campaign_Name]],"_")</f>
        <v>Blogger</v>
      </c>
      <c r="G105" t="str">
        <f>IF(ISNUMBER(SEARCH("Tier1",Table1[[#This Row],[Campaign_Name]])),"Tier1",IF(ISNUMBER(SEARCH("Tier2",Table1[[#This Row],[Campaign_Name]])),"Tier2","Not Applicable"))</f>
        <v>Not Applicable</v>
      </c>
      <c r="H105" t="s">
        <v>48</v>
      </c>
      <c r="I105" s="3">
        <v>19831.400000000001</v>
      </c>
      <c r="J105" s="7">
        <v>1469962</v>
      </c>
      <c r="K105" s="7">
        <v>8998</v>
      </c>
      <c r="L105" s="7">
        <v>80</v>
      </c>
      <c r="M105" s="7">
        <v>16</v>
      </c>
      <c r="N105" s="2">
        <v>130768</v>
      </c>
      <c r="O105" s="6">
        <f>Table1[[#This Row],[Clicks]]/Table1[[#This Row],[Impressions]]</f>
        <v>6.121246671682669E-3</v>
      </c>
      <c r="P105" s="6">
        <f>Table1[[#This Row],[Leads]]/Table1[[#This Row],[Clicks]]</f>
        <v>8.8908646365859073E-3</v>
      </c>
      <c r="Q105" s="6" t="str">
        <f>IF(Table1[[#This Row],[Conversion1]]&gt;=2%,"High","Low")</f>
        <v>Low</v>
      </c>
      <c r="R105" s="6">
        <f>IFERROR(Table1[[#This Row],[Orders]]/Table1[[#This Row],[Leads]],0)</f>
        <v>0.2</v>
      </c>
      <c r="S105" s="6" t="str">
        <f>IF(Table1[[#This Row],[Conversion2]]&gt;=15%,"High","Low")</f>
        <v>High</v>
      </c>
      <c r="T105" s="4">
        <f>IFERROR(Table1[[#This Row],[Revenue]]/Table1[[#This Row],[Orders]],0)</f>
        <v>8173</v>
      </c>
      <c r="U105" s="4">
        <f>Table1[[#This Row],[Market_Budget]]/Table1[[#This Row],[Clicks]]</f>
        <v>2.2039786619248725</v>
      </c>
      <c r="V105" s="4">
        <f>IFERROR(Table1[[#This Row],[Market_Budget]]/Table1[[#This Row],[Leads]],0)</f>
        <v>247.89250000000001</v>
      </c>
      <c r="W105" s="4">
        <f>IFERROR(Table1[[#This Row],[Market_Budget]]/Table1[[#This Row],[Orders]],0)</f>
        <v>1239.4625000000001</v>
      </c>
      <c r="X105" s="15">
        <f>(Table1[[#This Row],[Revenue]]-Table1[[#This Row],[Market_Budget]])/Table1[[#This Row],[Market_Budget]]</f>
        <v>5.593987313049003</v>
      </c>
      <c r="Y105" s="5">
        <f>Table1[[#This Row],[Revenue]]-Table1[[#This Row],[Market_Budget]]</f>
        <v>110936.6</v>
      </c>
    </row>
    <row r="106" spans="1:25" x14ac:dyDescent="0.35">
      <c r="A106">
        <v>9034945</v>
      </c>
      <c r="B106" s="1">
        <v>44237</v>
      </c>
      <c r="C106" s="1" t="str">
        <f>TEXT(Table1[[#This Row],[Date]],"dddd")</f>
        <v>Wednesday</v>
      </c>
      <c r="D106" s="1" t="str">
        <f>IF(WEEKDAY(Table1[[#This Row],[Date]],2)&gt;5,"Weekend","Weekday")</f>
        <v>Weekday</v>
      </c>
      <c r="E106" t="s">
        <v>41</v>
      </c>
      <c r="F106" t="str">
        <f>_xlfn.TEXTAFTER(Table1[[#This Row],[Campaign_Name]],"_")</f>
        <v>Tier1</v>
      </c>
      <c r="G106" t="str">
        <f>IF(ISNUMBER(SEARCH("Tier1",Table1[[#This Row],[Campaign_Name]])),"Tier1",IF(ISNUMBER(SEARCH("Tier2",Table1[[#This Row],[Campaign_Name]])),"Tier2","Not Applicable"))</f>
        <v>Tier1</v>
      </c>
      <c r="H106" t="s">
        <v>61</v>
      </c>
      <c r="I106" s="3">
        <v>38890.300000000003</v>
      </c>
      <c r="J106" s="7">
        <v>3858193</v>
      </c>
      <c r="K106" s="7">
        <v>5406</v>
      </c>
      <c r="L106" s="7">
        <v>186</v>
      </c>
      <c r="M106" s="7">
        <v>14</v>
      </c>
      <c r="N106" s="2">
        <v>83734</v>
      </c>
      <c r="O106" s="6">
        <f>Table1[[#This Row],[Clicks]]/Table1[[#This Row],[Impressions]]</f>
        <v>1.4011740729403636E-3</v>
      </c>
      <c r="P106" s="6">
        <f>Table1[[#This Row],[Leads]]/Table1[[#This Row],[Clicks]]</f>
        <v>3.4406215316315207E-2</v>
      </c>
      <c r="Q106" s="6" t="str">
        <f>IF(Table1[[#This Row],[Conversion1]]&gt;=2%,"High","Low")</f>
        <v>High</v>
      </c>
      <c r="R106" s="6">
        <f>IFERROR(Table1[[#This Row],[Orders]]/Table1[[#This Row],[Leads]],0)</f>
        <v>7.5268817204301078E-2</v>
      </c>
      <c r="S106" s="6" t="str">
        <f>IF(Table1[[#This Row],[Conversion2]]&gt;=15%,"High","Low")</f>
        <v>Low</v>
      </c>
      <c r="T106" s="4">
        <f>IFERROR(Table1[[#This Row],[Revenue]]/Table1[[#This Row],[Orders]],0)</f>
        <v>5981</v>
      </c>
      <c r="U106" s="4">
        <f>Table1[[#This Row],[Market_Budget]]/Table1[[#This Row],[Clicks]]</f>
        <v>7.1939141694413618</v>
      </c>
      <c r="V106" s="4">
        <f>IFERROR(Table1[[#This Row],[Market_Budget]]/Table1[[#This Row],[Leads]],0)</f>
        <v>209.08763440860216</v>
      </c>
      <c r="W106" s="4">
        <f>IFERROR(Table1[[#This Row],[Market_Budget]]/Table1[[#This Row],[Orders]],0)</f>
        <v>2777.8785714285718</v>
      </c>
      <c r="X106" s="15">
        <f>(Table1[[#This Row],[Revenue]]-Table1[[#This Row],[Market_Budget]])/Table1[[#This Row],[Market_Budget]]</f>
        <v>1.1530818738862902</v>
      </c>
      <c r="Y106" s="5">
        <f>Table1[[#This Row],[Revenue]]-Table1[[#This Row],[Market_Budget]]</f>
        <v>44843.7</v>
      </c>
    </row>
    <row r="107" spans="1:25" x14ac:dyDescent="0.35">
      <c r="A107">
        <v>983498</v>
      </c>
      <c r="B107" s="1">
        <v>44237</v>
      </c>
      <c r="C107" s="1" t="str">
        <f>TEXT(Table1[[#This Row],[Date]],"dddd")</f>
        <v>Wednesday</v>
      </c>
      <c r="D107" s="1" t="str">
        <f>IF(WEEKDAY(Table1[[#This Row],[Date]],2)&gt;5,"Weekend","Weekday")</f>
        <v>Weekday</v>
      </c>
      <c r="E107" t="s">
        <v>42</v>
      </c>
      <c r="F107" t="str">
        <f>_xlfn.TEXTAFTER(Table1[[#This Row],[Campaign_Name]],"_")</f>
        <v>Tier2</v>
      </c>
      <c r="G107" t="str">
        <f>IF(ISNUMBER(SEARCH("Tier1",Table1[[#This Row],[Campaign_Name]])),"Tier1",IF(ISNUMBER(SEARCH("Tier2",Table1[[#This Row],[Campaign_Name]])),"Tier2","Not Applicable"))</f>
        <v>Tier2</v>
      </c>
      <c r="H107" t="s">
        <v>61</v>
      </c>
      <c r="I107" s="3">
        <v>14147.9</v>
      </c>
      <c r="J107" s="7">
        <v>2040000</v>
      </c>
      <c r="K107" s="7">
        <v>10200</v>
      </c>
      <c r="L107" s="7">
        <v>395</v>
      </c>
      <c r="M107" s="7">
        <v>4</v>
      </c>
      <c r="N107" s="2">
        <v>7924</v>
      </c>
      <c r="O107" s="6">
        <f>Table1[[#This Row],[Clicks]]/Table1[[#This Row],[Impressions]]</f>
        <v>5.0000000000000001E-3</v>
      </c>
      <c r="P107" s="6">
        <f>Table1[[#This Row],[Leads]]/Table1[[#This Row],[Clicks]]</f>
        <v>3.8725490196078433E-2</v>
      </c>
      <c r="Q107" s="6" t="str">
        <f>IF(Table1[[#This Row],[Conversion1]]&gt;=2%,"High","Low")</f>
        <v>High</v>
      </c>
      <c r="R107" s="6">
        <f>IFERROR(Table1[[#This Row],[Orders]]/Table1[[#This Row],[Leads]],0)</f>
        <v>1.0126582278481013E-2</v>
      </c>
      <c r="S107" s="6" t="str">
        <f>IF(Table1[[#This Row],[Conversion2]]&gt;=15%,"High","Low")</f>
        <v>Low</v>
      </c>
      <c r="T107" s="4">
        <f>IFERROR(Table1[[#This Row],[Revenue]]/Table1[[#This Row],[Orders]],0)</f>
        <v>1981</v>
      </c>
      <c r="U107" s="4">
        <f>Table1[[#This Row],[Market_Budget]]/Table1[[#This Row],[Clicks]]</f>
        <v>1.3870490196078431</v>
      </c>
      <c r="V107" s="4">
        <f>IFERROR(Table1[[#This Row],[Market_Budget]]/Table1[[#This Row],[Leads]],0)</f>
        <v>35.817468354430382</v>
      </c>
      <c r="W107" s="4">
        <f>IFERROR(Table1[[#This Row],[Market_Budget]]/Table1[[#This Row],[Orders]],0)</f>
        <v>3536.9749999999999</v>
      </c>
      <c r="X107" s="15">
        <f>(Table1[[#This Row],[Revenue]]-Table1[[#This Row],[Market_Budget]])/Table1[[#This Row],[Market_Budget]]</f>
        <v>-0.43991687812325503</v>
      </c>
      <c r="Y107" s="5">
        <f>Table1[[#This Row],[Revenue]]-Table1[[#This Row],[Market_Budget]]</f>
        <v>-6223.9</v>
      </c>
    </row>
    <row r="108" spans="1:25" x14ac:dyDescent="0.35">
      <c r="A108">
        <v>4387490</v>
      </c>
      <c r="B108" s="1">
        <v>44237</v>
      </c>
      <c r="C108" s="1" t="str">
        <f>TEXT(Table1[[#This Row],[Date]],"dddd")</f>
        <v>Wednesday</v>
      </c>
      <c r="D108" s="1" t="str">
        <f>IF(WEEKDAY(Table1[[#This Row],[Date]],2)&gt;5,"Weekend","Weekday")</f>
        <v>Weekday</v>
      </c>
      <c r="E108" t="s">
        <v>43</v>
      </c>
      <c r="F108" t="str">
        <f>_xlfn.TEXTAFTER(Table1[[#This Row],[Campaign_Name]],"_")</f>
        <v>Retargeting</v>
      </c>
      <c r="G108" t="str">
        <f>IF(ISNUMBER(SEARCH("Tier1",Table1[[#This Row],[Campaign_Name]])),"Tier1",IF(ISNUMBER(SEARCH("Tier2",Table1[[#This Row],[Campaign_Name]])),"Tier2","Not Applicable"))</f>
        <v>Not Applicable</v>
      </c>
      <c r="H108" t="s">
        <v>61</v>
      </c>
      <c r="I108" s="3">
        <v>12713</v>
      </c>
      <c r="J108" s="7">
        <v>18399</v>
      </c>
      <c r="K108" s="7">
        <v>599</v>
      </c>
      <c r="L108" s="7">
        <v>22</v>
      </c>
      <c r="M108" s="7">
        <v>5</v>
      </c>
      <c r="N108" s="2">
        <v>27065</v>
      </c>
      <c r="O108" s="6">
        <f>Table1[[#This Row],[Clicks]]/Table1[[#This Row],[Impressions]]</f>
        <v>3.2556117180281535E-2</v>
      </c>
      <c r="P108" s="6">
        <f>Table1[[#This Row],[Leads]]/Table1[[#This Row],[Clicks]]</f>
        <v>3.6727879799666109E-2</v>
      </c>
      <c r="Q108" s="6" t="str">
        <f>IF(Table1[[#This Row],[Conversion1]]&gt;=2%,"High","Low")</f>
        <v>High</v>
      </c>
      <c r="R108" s="6">
        <f>IFERROR(Table1[[#This Row],[Orders]]/Table1[[#This Row],[Leads]],0)</f>
        <v>0.22727272727272727</v>
      </c>
      <c r="S108" s="6" t="str">
        <f>IF(Table1[[#This Row],[Conversion2]]&gt;=15%,"High","Low")</f>
        <v>High</v>
      </c>
      <c r="T108" s="4">
        <f>IFERROR(Table1[[#This Row],[Revenue]]/Table1[[#This Row],[Orders]],0)</f>
        <v>5413</v>
      </c>
      <c r="U108" s="4">
        <f>Table1[[#This Row],[Market_Budget]]/Table1[[#This Row],[Clicks]]</f>
        <v>21.223706176961603</v>
      </c>
      <c r="V108" s="4">
        <f>IFERROR(Table1[[#This Row],[Market_Budget]]/Table1[[#This Row],[Leads]],0)</f>
        <v>577.86363636363637</v>
      </c>
      <c r="W108" s="4">
        <f>IFERROR(Table1[[#This Row],[Market_Budget]]/Table1[[#This Row],[Orders]],0)</f>
        <v>2542.6</v>
      </c>
      <c r="X108" s="15">
        <f>(Table1[[#This Row],[Revenue]]-Table1[[#This Row],[Market_Budget]])/Table1[[#This Row],[Market_Budget]]</f>
        <v>1.1289231495319751</v>
      </c>
      <c r="Y108" s="5">
        <f>Table1[[#This Row],[Revenue]]-Table1[[#This Row],[Market_Budget]]</f>
        <v>14352</v>
      </c>
    </row>
    <row r="109" spans="1:25" x14ac:dyDescent="0.35">
      <c r="A109">
        <v>544756</v>
      </c>
      <c r="B109" s="1">
        <v>44237</v>
      </c>
      <c r="C109" s="1" t="str">
        <f>TEXT(Table1[[#This Row],[Date]],"dddd")</f>
        <v>Wednesday</v>
      </c>
      <c r="D109" s="1" t="str">
        <f>IF(WEEKDAY(Table1[[#This Row],[Date]],2)&gt;5,"Weekend","Weekday")</f>
        <v>Weekday</v>
      </c>
      <c r="E109" t="s">
        <v>44</v>
      </c>
      <c r="F109" t="str">
        <f>_xlfn.TEXTAFTER(Table1[[#This Row],[Campaign_Name]],"_")</f>
        <v>Lal</v>
      </c>
      <c r="G109" t="str">
        <f>IF(ISNUMBER(SEARCH("Tier1",Table1[[#This Row],[Campaign_Name]])),"Tier1",IF(ISNUMBER(SEARCH("Tier2",Table1[[#This Row],[Campaign_Name]])),"Tier2","Not Applicable"))</f>
        <v>Not Applicable</v>
      </c>
      <c r="H109" t="s">
        <v>61</v>
      </c>
      <c r="I109" s="3">
        <v>131236</v>
      </c>
      <c r="J109" s="7">
        <v>321713</v>
      </c>
      <c r="K109" s="7">
        <v>2396</v>
      </c>
      <c r="L109" s="7">
        <v>88</v>
      </c>
      <c r="M109" s="7">
        <v>15</v>
      </c>
      <c r="N109" s="2">
        <v>14715</v>
      </c>
      <c r="O109" s="6">
        <f>Table1[[#This Row],[Clicks]]/Table1[[#This Row],[Impressions]]</f>
        <v>7.4476318955093513E-3</v>
      </c>
      <c r="P109" s="6">
        <f>Table1[[#This Row],[Leads]]/Table1[[#This Row],[Clicks]]</f>
        <v>3.6727879799666109E-2</v>
      </c>
      <c r="Q109" s="6" t="str">
        <f>IF(Table1[[#This Row],[Conversion1]]&gt;=2%,"High","Low")</f>
        <v>High</v>
      </c>
      <c r="R109" s="6">
        <f>IFERROR(Table1[[#This Row],[Orders]]/Table1[[#This Row],[Leads]],0)</f>
        <v>0.17045454545454544</v>
      </c>
      <c r="S109" s="6" t="str">
        <f>IF(Table1[[#This Row],[Conversion2]]&gt;=15%,"High","Low")</f>
        <v>High</v>
      </c>
      <c r="T109" s="4">
        <f>IFERROR(Table1[[#This Row],[Revenue]]/Table1[[#This Row],[Orders]],0)</f>
        <v>981</v>
      </c>
      <c r="U109" s="4">
        <f>Table1[[#This Row],[Market_Budget]]/Table1[[#This Row],[Clicks]]</f>
        <v>54.772954924874789</v>
      </c>
      <c r="V109" s="4">
        <f>IFERROR(Table1[[#This Row],[Market_Budget]]/Table1[[#This Row],[Leads]],0)</f>
        <v>1491.3181818181818</v>
      </c>
      <c r="W109" s="4">
        <f>IFERROR(Table1[[#This Row],[Market_Budget]]/Table1[[#This Row],[Orders]],0)</f>
        <v>8749.0666666666675</v>
      </c>
      <c r="X109" s="15">
        <f>(Table1[[#This Row],[Revenue]]-Table1[[#This Row],[Market_Budget]])/Table1[[#This Row],[Market_Budget]]</f>
        <v>-0.88787375415282388</v>
      </c>
      <c r="Y109" s="5">
        <f>Table1[[#This Row],[Revenue]]-Table1[[#This Row],[Market_Budget]]</f>
        <v>-116521</v>
      </c>
    </row>
    <row r="110" spans="1:25" x14ac:dyDescent="0.35">
      <c r="A110">
        <v>374754</v>
      </c>
      <c r="B110" s="1">
        <v>44237</v>
      </c>
      <c r="C110" s="1" t="str">
        <f>TEXT(Table1[[#This Row],[Date]],"dddd")</f>
        <v>Wednesday</v>
      </c>
      <c r="D110" s="1" t="str">
        <f>IF(WEEKDAY(Table1[[#This Row],[Date]],2)&gt;5,"Weekend","Weekday")</f>
        <v>Weekday</v>
      </c>
      <c r="E110" t="s">
        <v>45</v>
      </c>
      <c r="F110" t="str">
        <f>_xlfn.TEXTAFTER(Table1[[#This Row],[Campaign_Name]],"_")</f>
        <v>Blogger</v>
      </c>
      <c r="G110" t="str">
        <f>IF(ISNUMBER(SEARCH("Tier1",Table1[[#This Row],[Campaign_Name]])),"Tier1",IF(ISNUMBER(SEARCH("Tier2",Table1[[#This Row],[Campaign_Name]])),"Tier2","Not Applicable"))</f>
        <v>Not Applicable</v>
      </c>
      <c r="H110" t="s">
        <v>48</v>
      </c>
      <c r="I110" s="3">
        <v>126901</v>
      </c>
      <c r="J110" s="7">
        <v>489728</v>
      </c>
      <c r="K110" s="7">
        <v>6005</v>
      </c>
      <c r="L110" s="7">
        <v>187</v>
      </c>
      <c r="M110" s="7">
        <v>34</v>
      </c>
      <c r="N110" s="2">
        <v>143888</v>
      </c>
      <c r="O110" s="6">
        <f>Table1[[#This Row],[Clicks]]/Table1[[#This Row],[Impressions]]</f>
        <v>1.2261908651332984E-2</v>
      </c>
      <c r="P110" s="6">
        <f>Table1[[#This Row],[Leads]]/Table1[[#This Row],[Clicks]]</f>
        <v>3.1140716069941714E-2</v>
      </c>
      <c r="Q110" s="6" t="str">
        <f>IF(Table1[[#This Row],[Conversion1]]&gt;=2%,"High","Low")</f>
        <v>High</v>
      </c>
      <c r="R110" s="6">
        <f>IFERROR(Table1[[#This Row],[Orders]]/Table1[[#This Row],[Leads]],0)</f>
        <v>0.18181818181818182</v>
      </c>
      <c r="S110" s="6" t="str">
        <f>IF(Table1[[#This Row],[Conversion2]]&gt;=15%,"High","Low")</f>
        <v>High</v>
      </c>
      <c r="T110" s="4">
        <f>IFERROR(Table1[[#This Row],[Revenue]]/Table1[[#This Row],[Orders]],0)</f>
        <v>4232</v>
      </c>
      <c r="U110" s="4">
        <f>Table1[[#This Row],[Market_Budget]]/Table1[[#This Row],[Clicks]]</f>
        <v>21.132556203164029</v>
      </c>
      <c r="V110" s="4">
        <f>IFERROR(Table1[[#This Row],[Market_Budget]]/Table1[[#This Row],[Leads]],0)</f>
        <v>678.61497326203209</v>
      </c>
      <c r="W110" s="4">
        <f>IFERROR(Table1[[#This Row],[Market_Budget]]/Table1[[#This Row],[Orders]],0)</f>
        <v>3732.3823529411766</v>
      </c>
      <c r="X110" s="15">
        <f>(Table1[[#This Row],[Revenue]]-Table1[[#This Row],[Market_Budget]])/Table1[[#This Row],[Market_Budget]]</f>
        <v>0.13386025326829576</v>
      </c>
      <c r="Y110" s="5">
        <f>Table1[[#This Row],[Revenue]]-Table1[[#This Row],[Market_Budget]]</f>
        <v>16987</v>
      </c>
    </row>
    <row r="111" spans="1:25" x14ac:dyDescent="0.35">
      <c r="A111">
        <v>39889</v>
      </c>
      <c r="B111" s="1">
        <v>44237</v>
      </c>
      <c r="C111" s="1" t="str">
        <f>TEXT(Table1[[#This Row],[Date]],"dddd")</f>
        <v>Wednesday</v>
      </c>
      <c r="D111" s="1" t="str">
        <f>IF(WEEKDAY(Table1[[#This Row],[Date]],2)&gt;5,"Weekend","Weekday")</f>
        <v>Weekday</v>
      </c>
      <c r="E111" t="s">
        <v>46</v>
      </c>
      <c r="F111" t="str">
        <f>_xlfn.TEXTAFTER(Table1[[#This Row],[Campaign_Name]],"_")</f>
        <v>Partner</v>
      </c>
      <c r="G111" t="str">
        <f>IF(ISNUMBER(SEARCH("Tier1",Table1[[#This Row],[Campaign_Name]])),"Tier1",IF(ISNUMBER(SEARCH("Tier2",Table1[[#This Row],[Campaign_Name]])),"Tier2","Not Applicable"))</f>
        <v>Not Applicable</v>
      </c>
      <c r="H111" t="s">
        <v>62</v>
      </c>
      <c r="I111" s="3">
        <v>179519</v>
      </c>
      <c r="J111" s="7">
        <v>5219501</v>
      </c>
      <c r="K111" s="7">
        <v>8391</v>
      </c>
      <c r="L111" s="7">
        <v>302</v>
      </c>
      <c r="M111" s="7">
        <v>60</v>
      </c>
      <c r="N111" s="2">
        <v>196680</v>
      </c>
      <c r="O111" s="6">
        <f>Table1[[#This Row],[Clicks]]/Table1[[#This Row],[Impressions]]</f>
        <v>1.6076249434572385E-3</v>
      </c>
      <c r="P111" s="6">
        <f>Table1[[#This Row],[Leads]]/Table1[[#This Row],[Clicks]]</f>
        <v>3.5990942676677393E-2</v>
      </c>
      <c r="Q111" s="6" t="str">
        <f>IF(Table1[[#This Row],[Conversion1]]&gt;=2%,"High","Low")</f>
        <v>High</v>
      </c>
      <c r="R111" s="6">
        <f>IFERROR(Table1[[#This Row],[Orders]]/Table1[[#This Row],[Leads]],0)</f>
        <v>0.19867549668874171</v>
      </c>
      <c r="S111" s="6" t="str">
        <f>IF(Table1[[#This Row],[Conversion2]]&gt;=15%,"High","Low")</f>
        <v>High</v>
      </c>
      <c r="T111" s="4">
        <f>IFERROR(Table1[[#This Row],[Revenue]]/Table1[[#This Row],[Orders]],0)</f>
        <v>3278</v>
      </c>
      <c r="U111" s="4">
        <f>Table1[[#This Row],[Market_Budget]]/Table1[[#This Row],[Clicks]]</f>
        <v>21.394231915147181</v>
      </c>
      <c r="V111" s="4">
        <f>IFERROR(Table1[[#This Row],[Market_Budget]]/Table1[[#This Row],[Leads]],0)</f>
        <v>594.43377483443703</v>
      </c>
      <c r="W111" s="4">
        <f>IFERROR(Table1[[#This Row],[Market_Budget]]/Table1[[#This Row],[Orders]],0)</f>
        <v>2991.9833333333331</v>
      </c>
      <c r="X111" s="15">
        <f>(Table1[[#This Row],[Revenue]]-Table1[[#This Row],[Market_Budget]])/Table1[[#This Row],[Market_Budget]]</f>
        <v>9.5594338203755597E-2</v>
      </c>
      <c r="Y111" s="5">
        <f>Table1[[#This Row],[Revenue]]-Table1[[#This Row],[Market_Budget]]</f>
        <v>17161</v>
      </c>
    </row>
    <row r="112" spans="1:25" x14ac:dyDescent="0.35">
      <c r="A112">
        <v>349043</v>
      </c>
      <c r="B112" s="1">
        <v>44238</v>
      </c>
      <c r="C112" s="1" t="str">
        <f>TEXT(Table1[[#This Row],[Date]],"dddd")</f>
        <v>Thursday</v>
      </c>
      <c r="D112" s="1" t="str">
        <f>IF(WEEKDAY(Table1[[#This Row],[Date]],2)&gt;5,"Weekend","Weekday")</f>
        <v>Weekday</v>
      </c>
      <c r="E112" t="s">
        <v>36</v>
      </c>
      <c r="F112" t="str">
        <f>_xlfn.TEXTAFTER(Table1[[#This Row],[Campaign_Name]],"_")</f>
        <v>Tier1</v>
      </c>
      <c r="G112" t="str">
        <f>IF(ISNUMBER(SEARCH("Tier1",Table1[[#This Row],[Campaign_Name]])),"Tier1",IF(ISNUMBER(SEARCH("Tier2",Table1[[#This Row],[Campaign_Name]])),"Tier2","Not Applicable"))</f>
        <v>Tier1</v>
      </c>
      <c r="H112" t="s">
        <v>61</v>
      </c>
      <c r="I112" s="3">
        <v>105681</v>
      </c>
      <c r="J112" s="7">
        <v>1061233</v>
      </c>
      <c r="K112" s="7">
        <v>7206</v>
      </c>
      <c r="L112" s="7">
        <v>144</v>
      </c>
      <c r="M112" s="7">
        <v>23</v>
      </c>
      <c r="N112" s="2">
        <v>105225</v>
      </c>
      <c r="O112" s="6">
        <f>Table1[[#This Row],[Clicks]]/Table1[[#This Row],[Impressions]]</f>
        <v>6.7902147784699492E-3</v>
      </c>
      <c r="P112" s="6">
        <f>Table1[[#This Row],[Leads]]/Table1[[#This Row],[Clicks]]</f>
        <v>1.9983347210657785E-2</v>
      </c>
      <c r="Q112" s="6" t="str">
        <f>IF(Table1[[#This Row],[Conversion1]]&gt;=2%,"High","Low")</f>
        <v>Low</v>
      </c>
      <c r="R112" s="6">
        <f>IFERROR(Table1[[#This Row],[Orders]]/Table1[[#This Row],[Leads]],0)</f>
        <v>0.15972222222222221</v>
      </c>
      <c r="S112" s="6" t="str">
        <f>IF(Table1[[#This Row],[Conversion2]]&gt;=15%,"High","Low")</f>
        <v>High</v>
      </c>
      <c r="T112" s="4">
        <f>IFERROR(Table1[[#This Row],[Revenue]]/Table1[[#This Row],[Orders]],0)</f>
        <v>4575</v>
      </c>
      <c r="U112" s="4">
        <f>Table1[[#This Row],[Market_Budget]]/Table1[[#This Row],[Clicks]]</f>
        <v>14.665695253955038</v>
      </c>
      <c r="V112" s="4">
        <f>IFERROR(Table1[[#This Row],[Market_Budget]]/Table1[[#This Row],[Leads]],0)</f>
        <v>733.89583333333337</v>
      </c>
      <c r="W112" s="4">
        <f>IFERROR(Table1[[#This Row],[Market_Budget]]/Table1[[#This Row],[Orders]],0)</f>
        <v>4594.826086956522</v>
      </c>
      <c r="X112" s="15">
        <f>(Table1[[#This Row],[Revenue]]-Table1[[#This Row],[Market_Budget]])/Table1[[#This Row],[Market_Budget]]</f>
        <v>-4.3148721151389556E-3</v>
      </c>
      <c r="Y112" s="5">
        <f>Table1[[#This Row],[Revenue]]-Table1[[#This Row],[Market_Budget]]</f>
        <v>-456</v>
      </c>
    </row>
    <row r="113" spans="1:25" x14ac:dyDescent="0.35">
      <c r="A113">
        <v>348934</v>
      </c>
      <c r="B113" s="1">
        <v>44238</v>
      </c>
      <c r="C113" s="1" t="str">
        <f>TEXT(Table1[[#This Row],[Date]],"dddd")</f>
        <v>Thursday</v>
      </c>
      <c r="D113" s="1" t="str">
        <f>IF(WEEKDAY(Table1[[#This Row],[Date]],2)&gt;5,"Weekend","Weekday")</f>
        <v>Weekday</v>
      </c>
      <c r="E113" t="s">
        <v>37</v>
      </c>
      <c r="F113" t="str">
        <f>_xlfn.TEXTAFTER(Table1[[#This Row],[Campaign_Name]],"_")</f>
        <v>Tier2</v>
      </c>
      <c r="G113" t="str">
        <f>IF(ISNUMBER(SEARCH("Tier1",Table1[[#This Row],[Campaign_Name]])),"Tier1",IF(ISNUMBER(SEARCH("Tier2",Table1[[#This Row],[Campaign_Name]])),"Tier2","Not Applicable"))</f>
        <v>Tier2</v>
      </c>
      <c r="H113" t="s">
        <v>61</v>
      </c>
      <c r="I113" s="3">
        <v>188516</v>
      </c>
      <c r="J113" s="7">
        <v>4564542</v>
      </c>
      <c r="K113" s="7">
        <v>9895</v>
      </c>
      <c r="L113" s="7">
        <v>304</v>
      </c>
      <c r="M113" s="7">
        <v>28</v>
      </c>
      <c r="N113" s="2">
        <v>131068</v>
      </c>
      <c r="O113" s="6">
        <f>Table1[[#This Row],[Clicks]]/Table1[[#This Row],[Impressions]]</f>
        <v>2.1677969005433621E-3</v>
      </c>
      <c r="P113" s="6">
        <f>Table1[[#This Row],[Leads]]/Table1[[#This Row],[Clicks]]</f>
        <v>3.0722587165234967E-2</v>
      </c>
      <c r="Q113" s="6" t="str">
        <f>IF(Table1[[#This Row],[Conversion1]]&gt;=2%,"High","Low")</f>
        <v>High</v>
      </c>
      <c r="R113" s="6">
        <f>IFERROR(Table1[[#This Row],[Orders]]/Table1[[#This Row],[Leads]],0)</f>
        <v>9.2105263157894732E-2</v>
      </c>
      <c r="S113" s="6" t="str">
        <f>IF(Table1[[#This Row],[Conversion2]]&gt;=15%,"High","Low")</f>
        <v>Low</v>
      </c>
      <c r="T113" s="4">
        <f>IFERROR(Table1[[#This Row],[Revenue]]/Table1[[#This Row],[Orders]],0)</f>
        <v>4681</v>
      </c>
      <c r="U113" s="4">
        <f>Table1[[#This Row],[Market_Budget]]/Table1[[#This Row],[Clicks]]</f>
        <v>19.051642243557353</v>
      </c>
      <c r="V113" s="4">
        <f>IFERROR(Table1[[#This Row],[Market_Budget]]/Table1[[#This Row],[Leads]],0)</f>
        <v>620.11842105263156</v>
      </c>
      <c r="W113" s="4">
        <f>IFERROR(Table1[[#This Row],[Market_Budget]]/Table1[[#This Row],[Orders]],0)</f>
        <v>6732.7142857142853</v>
      </c>
      <c r="X113" s="15">
        <f>(Table1[[#This Row],[Revenue]]-Table1[[#This Row],[Market_Budget]])/Table1[[#This Row],[Market_Budget]]</f>
        <v>-0.30473805936896603</v>
      </c>
      <c r="Y113" s="5">
        <f>Table1[[#This Row],[Revenue]]-Table1[[#This Row],[Market_Budget]]</f>
        <v>-57448</v>
      </c>
    </row>
    <row r="114" spans="1:25" x14ac:dyDescent="0.35">
      <c r="A114">
        <v>89459845</v>
      </c>
      <c r="B114" s="1">
        <v>44238</v>
      </c>
      <c r="C114" s="1" t="str">
        <f>TEXT(Table1[[#This Row],[Date]],"dddd")</f>
        <v>Thursday</v>
      </c>
      <c r="D114" s="1" t="str">
        <f>IF(WEEKDAY(Table1[[#This Row],[Date]],2)&gt;5,"Weekend","Weekday")</f>
        <v>Weekday</v>
      </c>
      <c r="E114" t="s">
        <v>38</v>
      </c>
      <c r="F114" t="str">
        <f>_xlfn.TEXTAFTER(Table1[[#This Row],[Campaign_Name]],"_")</f>
        <v>Hot</v>
      </c>
      <c r="G114" t="str">
        <f>IF(ISNUMBER(SEARCH("Tier1",Table1[[#This Row],[Campaign_Name]])),"Tier1",IF(ISNUMBER(SEARCH("Tier2",Table1[[#This Row],[Campaign_Name]])),"Tier2","Not Applicable"))</f>
        <v>Not Applicable</v>
      </c>
      <c r="H114" t="s">
        <v>47</v>
      </c>
      <c r="I114" s="3">
        <v>26220.400000000001</v>
      </c>
      <c r="J114" s="7">
        <v>134600</v>
      </c>
      <c r="K114" s="7">
        <v>2692</v>
      </c>
      <c r="L114" s="7">
        <v>54</v>
      </c>
      <c r="M114" s="7">
        <v>6</v>
      </c>
      <c r="N114" s="2">
        <v>48990</v>
      </c>
      <c r="O114" s="6">
        <f>Table1[[#This Row],[Clicks]]/Table1[[#This Row],[Impressions]]</f>
        <v>0.02</v>
      </c>
      <c r="P114" s="6">
        <f>Table1[[#This Row],[Leads]]/Table1[[#This Row],[Clicks]]</f>
        <v>2.0059435364041606E-2</v>
      </c>
      <c r="Q114" s="6" t="str">
        <f>IF(Table1[[#This Row],[Conversion1]]&gt;=2%,"High","Low")</f>
        <v>High</v>
      </c>
      <c r="R114" s="6">
        <f>IFERROR(Table1[[#This Row],[Orders]]/Table1[[#This Row],[Leads]],0)</f>
        <v>0.1111111111111111</v>
      </c>
      <c r="S114" s="6" t="str">
        <f>IF(Table1[[#This Row],[Conversion2]]&gt;=15%,"High","Low")</f>
        <v>Low</v>
      </c>
      <c r="T114" s="4">
        <f>IFERROR(Table1[[#This Row],[Revenue]]/Table1[[#This Row],[Orders]],0)</f>
        <v>8165</v>
      </c>
      <c r="U114" s="4">
        <f>Table1[[#This Row],[Market_Budget]]/Table1[[#This Row],[Clicks]]</f>
        <v>9.7401188707280841</v>
      </c>
      <c r="V114" s="4">
        <f>IFERROR(Table1[[#This Row],[Market_Budget]]/Table1[[#This Row],[Leads]],0)</f>
        <v>485.56296296296301</v>
      </c>
      <c r="W114" s="4">
        <f>IFERROR(Table1[[#This Row],[Market_Budget]]/Table1[[#This Row],[Orders]],0)</f>
        <v>4370.0666666666666</v>
      </c>
      <c r="X114" s="15">
        <f>(Table1[[#This Row],[Revenue]]-Table1[[#This Row],[Market_Budget]])/Table1[[#This Row],[Market_Budget]]</f>
        <v>0.86839254931274878</v>
      </c>
      <c r="Y114" s="5">
        <f>Table1[[#This Row],[Revenue]]-Table1[[#This Row],[Market_Budget]]</f>
        <v>22769.599999999999</v>
      </c>
    </row>
    <row r="115" spans="1:25" x14ac:dyDescent="0.35">
      <c r="A115">
        <v>127823</v>
      </c>
      <c r="B115" s="1">
        <v>44238</v>
      </c>
      <c r="C115" s="1" t="str">
        <f>TEXT(Table1[[#This Row],[Date]],"dddd")</f>
        <v>Thursday</v>
      </c>
      <c r="D115" s="1" t="str">
        <f>IF(WEEKDAY(Table1[[#This Row],[Date]],2)&gt;5,"Weekend","Weekday")</f>
        <v>Weekday</v>
      </c>
      <c r="E115" t="s">
        <v>39</v>
      </c>
      <c r="F115" t="str">
        <f>_xlfn.TEXTAFTER(Table1[[#This Row],[Campaign_Name]],"_")</f>
        <v>Wide</v>
      </c>
      <c r="G115" t="str">
        <f>IF(ISNUMBER(SEARCH("Tier1",Table1[[#This Row],[Campaign_Name]])),"Tier1",IF(ISNUMBER(SEARCH("Tier2",Table1[[#This Row],[Campaign_Name]])),"Tier2","Not Applicable"))</f>
        <v>Not Applicable</v>
      </c>
      <c r="H115" t="s">
        <v>47</v>
      </c>
      <c r="I115" s="3">
        <v>51422.5</v>
      </c>
      <c r="J115" s="7">
        <v>1254537</v>
      </c>
      <c r="K115" s="7">
        <v>7198</v>
      </c>
      <c r="L115" s="7">
        <v>144</v>
      </c>
      <c r="M115" s="7">
        <v>14</v>
      </c>
      <c r="N115" s="2">
        <v>41986</v>
      </c>
      <c r="O115" s="6">
        <f>Table1[[#This Row],[Clicks]]/Table1[[#This Row],[Impressions]]</f>
        <v>5.7375748981496758E-3</v>
      </c>
      <c r="P115" s="6">
        <f>Table1[[#This Row],[Leads]]/Table1[[#This Row],[Clicks]]</f>
        <v>2.0005557099194219E-2</v>
      </c>
      <c r="Q115" s="6" t="str">
        <f>IF(Table1[[#This Row],[Conversion1]]&gt;=2%,"High","Low")</f>
        <v>High</v>
      </c>
      <c r="R115" s="6">
        <f>IFERROR(Table1[[#This Row],[Orders]]/Table1[[#This Row],[Leads]],0)</f>
        <v>9.7222222222222224E-2</v>
      </c>
      <c r="S115" s="6" t="str">
        <f>IF(Table1[[#This Row],[Conversion2]]&gt;=15%,"High","Low")</f>
        <v>Low</v>
      </c>
      <c r="T115" s="4">
        <f>IFERROR(Table1[[#This Row],[Revenue]]/Table1[[#This Row],[Orders]],0)</f>
        <v>2999</v>
      </c>
      <c r="U115" s="4">
        <f>Table1[[#This Row],[Market_Budget]]/Table1[[#This Row],[Clicks]]</f>
        <v>7.1439983328702414</v>
      </c>
      <c r="V115" s="4">
        <f>IFERROR(Table1[[#This Row],[Market_Budget]]/Table1[[#This Row],[Leads]],0)</f>
        <v>357.10069444444446</v>
      </c>
      <c r="W115" s="4">
        <f>IFERROR(Table1[[#This Row],[Market_Budget]]/Table1[[#This Row],[Orders]],0)</f>
        <v>3673.0357142857142</v>
      </c>
      <c r="X115" s="15">
        <f>(Table1[[#This Row],[Revenue]]-Table1[[#This Row],[Market_Budget]])/Table1[[#This Row],[Market_Budget]]</f>
        <v>-0.18350916427633818</v>
      </c>
      <c r="Y115" s="5">
        <f>Table1[[#This Row],[Revenue]]-Table1[[#This Row],[Market_Budget]]</f>
        <v>-9436.5</v>
      </c>
    </row>
    <row r="116" spans="1:25" x14ac:dyDescent="0.35">
      <c r="A116">
        <v>10934</v>
      </c>
      <c r="B116" s="1">
        <v>44238</v>
      </c>
      <c r="C116" s="1" t="str">
        <f>TEXT(Table1[[#This Row],[Date]],"dddd")</f>
        <v>Thursday</v>
      </c>
      <c r="D116" s="1" t="str">
        <f>IF(WEEKDAY(Table1[[#This Row],[Date]],2)&gt;5,"Weekend","Weekday")</f>
        <v>Weekday</v>
      </c>
      <c r="E116" t="s">
        <v>40</v>
      </c>
      <c r="F116" t="str">
        <f>_xlfn.TEXTAFTER(Table1[[#This Row],[Campaign_Name]],"_")</f>
        <v>Blogger</v>
      </c>
      <c r="G116" t="str">
        <f>IF(ISNUMBER(SEARCH("Tier1",Table1[[#This Row],[Campaign_Name]])),"Tier1",IF(ISNUMBER(SEARCH("Tier2",Table1[[#This Row],[Campaign_Name]])),"Tier2","Not Applicable"))</f>
        <v>Not Applicable</v>
      </c>
      <c r="H116" t="s">
        <v>48</v>
      </c>
      <c r="I116" s="3">
        <v>197161</v>
      </c>
      <c r="J116" s="7">
        <v>1210466</v>
      </c>
      <c r="K116" s="7">
        <v>13506</v>
      </c>
      <c r="L116" s="7">
        <v>474</v>
      </c>
      <c r="M116" s="7">
        <v>95</v>
      </c>
      <c r="N116" s="2">
        <v>831820</v>
      </c>
      <c r="O116" s="6">
        <f>Table1[[#This Row],[Clicks]]/Table1[[#This Row],[Impressions]]</f>
        <v>1.1157686378634344E-2</v>
      </c>
      <c r="P116" s="6">
        <f>Table1[[#This Row],[Leads]]/Table1[[#This Row],[Clicks]]</f>
        <v>3.5095513105286538E-2</v>
      </c>
      <c r="Q116" s="6" t="str">
        <f>IF(Table1[[#This Row],[Conversion1]]&gt;=2%,"High","Low")</f>
        <v>High</v>
      </c>
      <c r="R116" s="6">
        <f>IFERROR(Table1[[#This Row],[Orders]]/Table1[[#This Row],[Leads]],0)</f>
        <v>0.20042194092827004</v>
      </c>
      <c r="S116" s="6" t="str">
        <f>IF(Table1[[#This Row],[Conversion2]]&gt;=15%,"High","Low")</f>
        <v>High</v>
      </c>
      <c r="T116" s="4">
        <f>IFERROR(Table1[[#This Row],[Revenue]]/Table1[[#This Row],[Orders]],0)</f>
        <v>8756</v>
      </c>
      <c r="U116" s="4">
        <f>Table1[[#This Row],[Market_Budget]]/Table1[[#This Row],[Clicks]]</f>
        <v>14.598030504960759</v>
      </c>
      <c r="V116" s="4">
        <f>IFERROR(Table1[[#This Row],[Market_Budget]]/Table1[[#This Row],[Leads]],0)</f>
        <v>415.95147679324896</v>
      </c>
      <c r="W116" s="4">
        <f>IFERROR(Table1[[#This Row],[Market_Budget]]/Table1[[#This Row],[Orders]],0)</f>
        <v>2075.378947368421</v>
      </c>
      <c r="X116" s="15">
        <f>(Table1[[#This Row],[Revenue]]-Table1[[#This Row],[Market_Budget]])/Table1[[#This Row],[Market_Budget]]</f>
        <v>3.2189885423587827</v>
      </c>
      <c r="Y116" s="5">
        <f>Table1[[#This Row],[Revenue]]-Table1[[#This Row],[Market_Budget]]</f>
        <v>634659</v>
      </c>
    </row>
    <row r="117" spans="1:25" x14ac:dyDescent="0.35">
      <c r="A117">
        <v>9034945</v>
      </c>
      <c r="B117" s="1">
        <v>44238</v>
      </c>
      <c r="C117" s="1" t="str">
        <f>TEXT(Table1[[#This Row],[Date]],"dddd")</f>
        <v>Thursday</v>
      </c>
      <c r="D117" s="1" t="str">
        <f>IF(WEEKDAY(Table1[[#This Row],[Date]],2)&gt;5,"Weekend","Weekday")</f>
        <v>Weekday</v>
      </c>
      <c r="E117" t="s">
        <v>41</v>
      </c>
      <c r="F117" t="str">
        <f>_xlfn.TEXTAFTER(Table1[[#This Row],[Campaign_Name]],"_")</f>
        <v>Tier1</v>
      </c>
      <c r="G117" t="str">
        <f>IF(ISNUMBER(SEARCH("Tier1",Table1[[#This Row],[Campaign_Name]])),"Tier1",IF(ISNUMBER(SEARCH("Tier2",Table1[[#This Row],[Campaign_Name]])),"Tier2","Not Applicable"))</f>
        <v>Tier1</v>
      </c>
      <c r="H117" t="s">
        <v>61</v>
      </c>
      <c r="I117" s="3">
        <v>348.99</v>
      </c>
      <c r="J117" s="7">
        <v>2224531</v>
      </c>
      <c r="K117" s="7">
        <v>8106</v>
      </c>
      <c r="L117" s="7">
        <v>1</v>
      </c>
      <c r="M117" s="7">
        <v>0</v>
      </c>
      <c r="N117" s="2">
        <v>0</v>
      </c>
      <c r="O117" s="6">
        <f>Table1[[#This Row],[Clicks]]/Table1[[#This Row],[Impressions]]</f>
        <v>3.6439141553882594E-3</v>
      </c>
      <c r="P117" s="6">
        <f>Table1[[#This Row],[Leads]]/Table1[[#This Row],[Clicks]]</f>
        <v>1.233654083395016E-4</v>
      </c>
      <c r="Q117" s="6" t="str">
        <f>IF(Table1[[#This Row],[Conversion1]]&gt;=2%,"High","Low")</f>
        <v>Low</v>
      </c>
      <c r="R117" s="6">
        <f>IFERROR(Table1[[#This Row],[Orders]]/Table1[[#This Row],[Leads]],0)</f>
        <v>0</v>
      </c>
      <c r="S117" s="6" t="str">
        <f>IF(Table1[[#This Row],[Conversion2]]&gt;=15%,"High","Low")</f>
        <v>Low</v>
      </c>
      <c r="T117" s="4">
        <f>IFERROR(Table1[[#This Row],[Revenue]]/Table1[[#This Row],[Orders]],0)</f>
        <v>0</v>
      </c>
      <c r="U117" s="4">
        <f>Table1[[#This Row],[Market_Budget]]/Table1[[#This Row],[Clicks]]</f>
        <v>4.3053293856402663E-2</v>
      </c>
      <c r="V117" s="4">
        <f>IFERROR(Table1[[#This Row],[Market_Budget]]/Table1[[#This Row],[Leads]],0)</f>
        <v>348.99</v>
      </c>
      <c r="W117" s="4">
        <f>IFERROR(Table1[[#This Row],[Market_Budget]]/Table1[[#This Row],[Orders]],0)</f>
        <v>0</v>
      </c>
      <c r="X117" s="15">
        <f>(Table1[[#This Row],[Revenue]]-Table1[[#This Row],[Market_Budget]])/Table1[[#This Row],[Market_Budget]]</f>
        <v>-1</v>
      </c>
      <c r="Y117" s="5">
        <f>Table1[[#This Row],[Revenue]]-Table1[[#This Row],[Market_Budget]]</f>
        <v>-348.99</v>
      </c>
    </row>
    <row r="118" spans="1:25" x14ac:dyDescent="0.35">
      <c r="A118">
        <v>983498</v>
      </c>
      <c r="B118" s="1">
        <v>44238</v>
      </c>
      <c r="C118" s="1" t="str">
        <f>TEXT(Table1[[#This Row],[Date]],"dddd")</f>
        <v>Thursday</v>
      </c>
      <c r="D118" s="1" t="str">
        <f>IF(WEEKDAY(Table1[[#This Row],[Date]],2)&gt;5,"Weekend","Weekday")</f>
        <v>Weekday</v>
      </c>
      <c r="E118" t="s">
        <v>42</v>
      </c>
      <c r="F118" t="str">
        <f>_xlfn.TEXTAFTER(Table1[[#This Row],[Campaign_Name]],"_")</f>
        <v>Tier2</v>
      </c>
      <c r="G118" t="str">
        <f>IF(ISNUMBER(SEARCH("Tier1",Table1[[#This Row],[Campaign_Name]])),"Tier1",IF(ISNUMBER(SEARCH("Tier2",Table1[[#This Row],[Campaign_Name]])),"Tier2","Not Applicable"))</f>
        <v>Tier2</v>
      </c>
      <c r="H118" t="s">
        <v>61</v>
      </c>
      <c r="I118" s="3">
        <v>4138.7299999999996</v>
      </c>
      <c r="J118" s="7">
        <v>3058200</v>
      </c>
      <c r="K118" s="7">
        <v>15291</v>
      </c>
      <c r="L118" s="7">
        <v>114</v>
      </c>
      <c r="M118" s="7">
        <v>1</v>
      </c>
      <c r="N118" s="2">
        <v>2771</v>
      </c>
      <c r="O118" s="6">
        <f>Table1[[#This Row],[Clicks]]/Table1[[#This Row],[Impressions]]</f>
        <v>5.0000000000000001E-3</v>
      </c>
      <c r="P118" s="6">
        <f>Table1[[#This Row],[Leads]]/Table1[[#This Row],[Clicks]]</f>
        <v>7.4553659015106927E-3</v>
      </c>
      <c r="Q118" s="6" t="str">
        <f>IF(Table1[[#This Row],[Conversion1]]&gt;=2%,"High","Low")</f>
        <v>Low</v>
      </c>
      <c r="R118" s="6">
        <f>IFERROR(Table1[[#This Row],[Orders]]/Table1[[#This Row],[Leads]],0)</f>
        <v>8.771929824561403E-3</v>
      </c>
      <c r="S118" s="6" t="str">
        <f>IF(Table1[[#This Row],[Conversion2]]&gt;=15%,"High","Low")</f>
        <v>Low</v>
      </c>
      <c r="T118" s="4">
        <f>IFERROR(Table1[[#This Row],[Revenue]]/Table1[[#This Row],[Orders]],0)</f>
        <v>2771</v>
      </c>
      <c r="U118" s="4">
        <f>Table1[[#This Row],[Market_Budget]]/Table1[[#This Row],[Clicks]]</f>
        <v>0.27066444313648547</v>
      </c>
      <c r="V118" s="4">
        <f>IFERROR(Table1[[#This Row],[Market_Budget]]/Table1[[#This Row],[Leads]],0)</f>
        <v>36.304649122807014</v>
      </c>
      <c r="W118" s="4">
        <f>IFERROR(Table1[[#This Row],[Market_Budget]]/Table1[[#This Row],[Orders]],0)</f>
        <v>4138.7299999999996</v>
      </c>
      <c r="X118" s="15">
        <f>(Table1[[#This Row],[Revenue]]-Table1[[#This Row],[Market_Budget]])/Table1[[#This Row],[Market_Budget]]</f>
        <v>-0.33047094156903195</v>
      </c>
      <c r="Y118" s="5">
        <f>Table1[[#This Row],[Revenue]]-Table1[[#This Row],[Market_Budget]]</f>
        <v>-1367.7299999999996</v>
      </c>
    </row>
    <row r="119" spans="1:25" x14ac:dyDescent="0.35">
      <c r="A119">
        <v>4387490</v>
      </c>
      <c r="B119" s="1">
        <v>44238</v>
      </c>
      <c r="C119" s="1" t="str">
        <f>TEXT(Table1[[#This Row],[Date]],"dddd")</f>
        <v>Thursday</v>
      </c>
      <c r="D119" s="1" t="str">
        <f>IF(WEEKDAY(Table1[[#This Row],[Date]],2)&gt;5,"Weekend","Weekday")</f>
        <v>Weekday</v>
      </c>
      <c r="E119" t="s">
        <v>43</v>
      </c>
      <c r="F119" t="str">
        <f>_xlfn.TEXTAFTER(Table1[[#This Row],[Campaign_Name]],"_")</f>
        <v>Retargeting</v>
      </c>
      <c r="G119" t="str">
        <f>IF(ISNUMBER(SEARCH("Tier1",Table1[[#This Row],[Campaign_Name]])),"Tier1",IF(ISNUMBER(SEARCH("Tier2",Table1[[#This Row],[Campaign_Name]])),"Tier2","Not Applicable"))</f>
        <v>Not Applicable</v>
      </c>
      <c r="H119" t="s">
        <v>61</v>
      </c>
      <c r="I119" s="3">
        <v>17711.099999999999</v>
      </c>
      <c r="J119" s="7">
        <v>26774</v>
      </c>
      <c r="K119" s="7">
        <v>893</v>
      </c>
      <c r="L119" s="7">
        <v>27</v>
      </c>
      <c r="M119" s="7">
        <v>6</v>
      </c>
      <c r="N119" s="2">
        <v>29886</v>
      </c>
      <c r="O119" s="6">
        <f>Table1[[#This Row],[Clicks]]/Table1[[#This Row],[Impressions]]</f>
        <v>3.3353253156046911E-2</v>
      </c>
      <c r="P119" s="6">
        <f>Table1[[#This Row],[Leads]]/Table1[[#This Row],[Clicks]]</f>
        <v>3.0235162374020158E-2</v>
      </c>
      <c r="Q119" s="6" t="str">
        <f>IF(Table1[[#This Row],[Conversion1]]&gt;=2%,"High","Low")</f>
        <v>High</v>
      </c>
      <c r="R119" s="6">
        <f>IFERROR(Table1[[#This Row],[Orders]]/Table1[[#This Row],[Leads]],0)</f>
        <v>0.22222222222222221</v>
      </c>
      <c r="S119" s="6" t="str">
        <f>IF(Table1[[#This Row],[Conversion2]]&gt;=15%,"High","Low")</f>
        <v>High</v>
      </c>
      <c r="T119" s="4">
        <f>IFERROR(Table1[[#This Row],[Revenue]]/Table1[[#This Row],[Orders]],0)</f>
        <v>4981</v>
      </c>
      <c r="U119" s="4">
        <f>Table1[[#This Row],[Market_Budget]]/Table1[[#This Row],[Clicks]]</f>
        <v>19.833258678611422</v>
      </c>
      <c r="V119" s="4">
        <f>IFERROR(Table1[[#This Row],[Market_Budget]]/Table1[[#This Row],[Leads]],0)</f>
        <v>655.96666666666658</v>
      </c>
      <c r="W119" s="4">
        <f>IFERROR(Table1[[#This Row],[Market_Budget]]/Table1[[#This Row],[Orders]],0)</f>
        <v>2951.85</v>
      </c>
      <c r="X119" s="15">
        <f>(Table1[[#This Row],[Revenue]]-Table1[[#This Row],[Market_Budget]])/Table1[[#This Row],[Market_Budget]]</f>
        <v>0.68741636600775802</v>
      </c>
      <c r="Y119" s="5">
        <f>Table1[[#This Row],[Revenue]]-Table1[[#This Row],[Market_Budget]]</f>
        <v>12174.900000000001</v>
      </c>
    </row>
    <row r="120" spans="1:25" x14ac:dyDescent="0.35">
      <c r="A120">
        <v>544756</v>
      </c>
      <c r="B120" s="1">
        <v>44238</v>
      </c>
      <c r="C120" s="1" t="str">
        <f>TEXT(Table1[[#This Row],[Date]],"dddd")</f>
        <v>Thursday</v>
      </c>
      <c r="D120" s="1" t="str">
        <f>IF(WEEKDAY(Table1[[#This Row],[Date]],2)&gt;5,"Weekend","Weekday")</f>
        <v>Weekday</v>
      </c>
      <c r="E120" t="s">
        <v>44</v>
      </c>
      <c r="F120" t="str">
        <f>_xlfn.TEXTAFTER(Table1[[#This Row],[Campaign_Name]],"_")</f>
        <v>Lal</v>
      </c>
      <c r="G120" t="str">
        <f>IF(ISNUMBER(SEARCH("Tier1",Table1[[#This Row],[Campaign_Name]])),"Tier1",IF(ISNUMBER(SEARCH("Tier2",Table1[[#This Row],[Campaign_Name]])),"Tier2","Not Applicable"))</f>
        <v>Not Applicable</v>
      </c>
      <c r="H120" t="s">
        <v>61</v>
      </c>
      <c r="I120" s="3">
        <v>6171.15</v>
      </c>
      <c r="J120" s="7">
        <v>359500</v>
      </c>
      <c r="K120" s="7">
        <v>3595</v>
      </c>
      <c r="L120" s="7">
        <v>5</v>
      </c>
      <c r="M120" s="7">
        <v>1</v>
      </c>
      <c r="N120" s="2">
        <v>677</v>
      </c>
      <c r="O120" s="6">
        <f>Table1[[#This Row],[Clicks]]/Table1[[#This Row],[Impressions]]</f>
        <v>0.01</v>
      </c>
      <c r="P120" s="6">
        <f>Table1[[#This Row],[Leads]]/Table1[[#This Row],[Clicks]]</f>
        <v>1.3908205841446453E-3</v>
      </c>
      <c r="Q120" s="6" t="str">
        <f>IF(Table1[[#This Row],[Conversion1]]&gt;=2%,"High","Low")</f>
        <v>Low</v>
      </c>
      <c r="R120" s="6">
        <f>IFERROR(Table1[[#This Row],[Orders]]/Table1[[#This Row],[Leads]],0)</f>
        <v>0.2</v>
      </c>
      <c r="S120" s="6" t="str">
        <f>IF(Table1[[#This Row],[Conversion2]]&gt;=15%,"High","Low")</f>
        <v>High</v>
      </c>
      <c r="T120" s="4">
        <f>IFERROR(Table1[[#This Row],[Revenue]]/Table1[[#This Row],[Orders]],0)</f>
        <v>677</v>
      </c>
      <c r="U120" s="4">
        <f>Table1[[#This Row],[Market_Budget]]/Table1[[#This Row],[Clicks]]</f>
        <v>1.7165924895688456</v>
      </c>
      <c r="V120" s="4">
        <f>IFERROR(Table1[[#This Row],[Market_Budget]]/Table1[[#This Row],[Leads]],0)</f>
        <v>1234.23</v>
      </c>
      <c r="W120" s="4">
        <f>IFERROR(Table1[[#This Row],[Market_Budget]]/Table1[[#This Row],[Orders]],0)</f>
        <v>6171.15</v>
      </c>
      <c r="X120" s="15">
        <f>(Table1[[#This Row],[Revenue]]-Table1[[#This Row],[Market_Budget]])/Table1[[#This Row],[Market_Budget]]</f>
        <v>-0.89029597400808602</v>
      </c>
      <c r="Y120" s="5">
        <f>Table1[[#This Row],[Revenue]]-Table1[[#This Row],[Market_Budget]]</f>
        <v>-5494.15</v>
      </c>
    </row>
    <row r="121" spans="1:25" x14ac:dyDescent="0.35">
      <c r="A121">
        <v>374754</v>
      </c>
      <c r="B121" s="1">
        <v>44238</v>
      </c>
      <c r="C121" s="1" t="str">
        <f>TEXT(Table1[[#This Row],[Date]],"dddd")</f>
        <v>Thursday</v>
      </c>
      <c r="D121" s="1" t="str">
        <f>IF(WEEKDAY(Table1[[#This Row],[Date]],2)&gt;5,"Weekend","Weekday")</f>
        <v>Weekday</v>
      </c>
      <c r="E121" t="s">
        <v>45</v>
      </c>
      <c r="F121" t="str">
        <f>_xlfn.TEXTAFTER(Table1[[#This Row],[Campaign_Name]],"_")</f>
        <v>Blogger</v>
      </c>
      <c r="G121" t="str">
        <f>IF(ISNUMBER(SEARCH("Tier1",Table1[[#This Row],[Campaign_Name]])),"Tier1",IF(ISNUMBER(SEARCH("Tier2",Table1[[#This Row],[Campaign_Name]])),"Tier2","Not Applicable"))</f>
        <v>Not Applicable</v>
      </c>
      <c r="H121" t="s">
        <v>48</v>
      </c>
      <c r="I121" s="3">
        <v>128751</v>
      </c>
      <c r="J121" s="7">
        <v>900400</v>
      </c>
      <c r="K121" s="7">
        <v>9004</v>
      </c>
      <c r="L121" s="7">
        <v>227</v>
      </c>
      <c r="M121" s="7">
        <v>29</v>
      </c>
      <c r="N121" s="2">
        <v>143869</v>
      </c>
      <c r="O121" s="6">
        <f>Table1[[#This Row],[Clicks]]/Table1[[#This Row],[Impressions]]</f>
        <v>0.01</v>
      </c>
      <c r="P121" s="6">
        <f>Table1[[#This Row],[Leads]]/Table1[[#This Row],[Clicks]]</f>
        <v>2.5211017325633051E-2</v>
      </c>
      <c r="Q121" s="6" t="str">
        <f>IF(Table1[[#This Row],[Conversion1]]&gt;=2%,"High","Low")</f>
        <v>High</v>
      </c>
      <c r="R121" s="6">
        <f>IFERROR(Table1[[#This Row],[Orders]]/Table1[[#This Row],[Leads]],0)</f>
        <v>0.1277533039647577</v>
      </c>
      <c r="S121" s="6" t="str">
        <f>IF(Table1[[#This Row],[Conversion2]]&gt;=15%,"High","Low")</f>
        <v>Low</v>
      </c>
      <c r="T121" s="4">
        <f>IFERROR(Table1[[#This Row],[Revenue]]/Table1[[#This Row],[Orders]],0)</f>
        <v>4961</v>
      </c>
      <c r="U121" s="4">
        <f>Table1[[#This Row],[Market_Budget]]/Table1[[#This Row],[Clicks]]</f>
        <v>14.299311417147933</v>
      </c>
      <c r="V121" s="4">
        <f>IFERROR(Table1[[#This Row],[Market_Budget]]/Table1[[#This Row],[Leads]],0)</f>
        <v>567.18502202643174</v>
      </c>
      <c r="W121" s="4">
        <f>IFERROR(Table1[[#This Row],[Market_Budget]]/Table1[[#This Row],[Orders]],0)</f>
        <v>4439.6896551724139</v>
      </c>
      <c r="X121" s="15">
        <f>(Table1[[#This Row],[Revenue]]-Table1[[#This Row],[Market_Budget]])/Table1[[#This Row],[Market_Budget]]</f>
        <v>0.11742044721982742</v>
      </c>
      <c r="Y121" s="5">
        <f>Table1[[#This Row],[Revenue]]-Table1[[#This Row],[Market_Budget]]</f>
        <v>15118</v>
      </c>
    </row>
    <row r="122" spans="1:25" x14ac:dyDescent="0.35">
      <c r="A122">
        <v>39889</v>
      </c>
      <c r="B122" s="1">
        <v>44238</v>
      </c>
      <c r="C122" s="1" t="str">
        <f>TEXT(Table1[[#This Row],[Date]],"dddd")</f>
        <v>Thursday</v>
      </c>
      <c r="D122" s="1" t="str">
        <f>IF(WEEKDAY(Table1[[#This Row],[Date]],2)&gt;5,"Weekend","Weekday")</f>
        <v>Weekday</v>
      </c>
      <c r="E122" t="s">
        <v>46</v>
      </c>
      <c r="F122" t="str">
        <f>_xlfn.TEXTAFTER(Table1[[#This Row],[Campaign_Name]],"_")</f>
        <v>Partner</v>
      </c>
      <c r="G122" t="str">
        <f>IF(ISNUMBER(SEARCH("Tier1",Table1[[#This Row],[Campaign_Name]])),"Tier1",IF(ISNUMBER(SEARCH("Tier2",Table1[[#This Row],[Campaign_Name]])),"Tier2","Not Applicable"))</f>
        <v>Not Applicable</v>
      </c>
      <c r="H122" t="s">
        <v>62</v>
      </c>
      <c r="I122" s="3">
        <v>193124</v>
      </c>
      <c r="J122" s="7">
        <v>5125187</v>
      </c>
      <c r="K122" s="7">
        <v>12602</v>
      </c>
      <c r="L122" s="7">
        <v>482</v>
      </c>
      <c r="M122" s="7">
        <v>57</v>
      </c>
      <c r="N122" s="2">
        <v>226917</v>
      </c>
      <c r="O122" s="6">
        <f>Table1[[#This Row],[Clicks]]/Table1[[#This Row],[Impressions]]</f>
        <v>2.4588371116995339E-3</v>
      </c>
      <c r="P122" s="6">
        <f>Table1[[#This Row],[Leads]]/Table1[[#This Row],[Clicks]]</f>
        <v>3.8247897159181081E-2</v>
      </c>
      <c r="Q122" s="6" t="str">
        <f>IF(Table1[[#This Row],[Conversion1]]&gt;=2%,"High","Low")</f>
        <v>High</v>
      </c>
      <c r="R122" s="6">
        <f>IFERROR(Table1[[#This Row],[Orders]]/Table1[[#This Row],[Leads]],0)</f>
        <v>0.11825726141078838</v>
      </c>
      <c r="S122" s="6" t="str">
        <f>IF(Table1[[#This Row],[Conversion2]]&gt;=15%,"High","Low")</f>
        <v>Low</v>
      </c>
      <c r="T122" s="4">
        <f>IFERROR(Table1[[#This Row],[Revenue]]/Table1[[#This Row],[Orders]],0)</f>
        <v>3981</v>
      </c>
      <c r="U122" s="4">
        <f>Table1[[#This Row],[Market_Budget]]/Table1[[#This Row],[Clicks]]</f>
        <v>15.32486906840184</v>
      </c>
      <c r="V122" s="4">
        <f>IFERROR(Table1[[#This Row],[Market_Budget]]/Table1[[#This Row],[Leads]],0)</f>
        <v>400.67219917012449</v>
      </c>
      <c r="W122" s="4">
        <f>IFERROR(Table1[[#This Row],[Market_Budget]]/Table1[[#This Row],[Orders]],0)</f>
        <v>3388.1403508771928</v>
      </c>
      <c r="X122" s="15">
        <f>(Table1[[#This Row],[Revenue]]-Table1[[#This Row],[Market_Budget]])/Table1[[#This Row],[Market_Budget]]</f>
        <v>0.17498084132474473</v>
      </c>
      <c r="Y122" s="5">
        <f>Table1[[#This Row],[Revenue]]-Table1[[#This Row],[Market_Budget]]</f>
        <v>33793</v>
      </c>
    </row>
    <row r="123" spans="1:25" x14ac:dyDescent="0.35">
      <c r="A123">
        <v>349043</v>
      </c>
      <c r="B123" s="1">
        <v>44239</v>
      </c>
      <c r="C123" s="1" t="str">
        <f>TEXT(Table1[[#This Row],[Date]],"dddd")</f>
        <v>Friday</v>
      </c>
      <c r="D123" s="1" t="str">
        <f>IF(WEEKDAY(Table1[[#This Row],[Date]],2)&gt;5,"Weekend","Weekday")</f>
        <v>Weekday</v>
      </c>
      <c r="E123" t="s">
        <v>36</v>
      </c>
      <c r="F123" t="str">
        <f>_xlfn.TEXTAFTER(Table1[[#This Row],[Campaign_Name]],"_")</f>
        <v>Tier1</v>
      </c>
      <c r="G123" t="str">
        <f>IF(ISNUMBER(SEARCH("Tier1",Table1[[#This Row],[Campaign_Name]])),"Tier1",IF(ISNUMBER(SEARCH("Tier2",Table1[[#This Row],[Campaign_Name]])),"Tier2","Not Applicable"))</f>
        <v>Tier1</v>
      </c>
      <c r="H123" t="s">
        <v>61</v>
      </c>
      <c r="I123" s="3">
        <v>110004</v>
      </c>
      <c r="J123" s="7">
        <v>1804868</v>
      </c>
      <c r="K123" s="7">
        <v>9607</v>
      </c>
      <c r="L123" s="7">
        <v>192</v>
      </c>
      <c r="M123" s="7">
        <v>23</v>
      </c>
      <c r="N123" s="2">
        <v>96163</v>
      </c>
      <c r="O123" s="6">
        <f>Table1[[#This Row],[Clicks]]/Table1[[#This Row],[Impressions]]</f>
        <v>5.3228269324958949E-3</v>
      </c>
      <c r="P123" s="6">
        <f>Table1[[#This Row],[Leads]]/Table1[[#This Row],[Clicks]]</f>
        <v>1.9985427292599146E-2</v>
      </c>
      <c r="Q123" s="6" t="str">
        <f>IF(Table1[[#This Row],[Conversion1]]&gt;=2%,"High","Low")</f>
        <v>Low</v>
      </c>
      <c r="R123" s="6">
        <f>IFERROR(Table1[[#This Row],[Orders]]/Table1[[#This Row],[Leads]],0)</f>
        <v>0.11979166666666667</v>
      </c>
      <c r="S123" s="6" t="str">
        <f>IF(Table1[[#This Row],[Conversion2]]&gt;=15%,"High","Low")</f>
        <v>Low</v>
      </c>
      <c r="T123" s="4">
        <f>IFERROR(Table1[[#This Row],[Revenue]]/Table1[[#This Row],[Orders]],0)</f>
        <v>4181</v>
      </c>
      <c r="U123" s="4">
        <f>Table1[[#This Row],[Market_Budget]]/Table1[[#This Row],[Clicks]]</f>
        <v>11.450400749453523</v>
      </c>
      <c r="V123" s="4">
        <f>IFERROR(Table1[[#This Row],[Market_Budget]]/Table1[[#This Row],[Leads]],0)</f>
        <v>572.9375</v>
      </c>
      <c r="W123" s="4">
        <f>IFERROR(Table1[[#This Row],[Market_Budget]]/Table1[[#This Row],[Orders]],0)</f>
        <v>4782.782608695652</v>
      </c>
      <c r="X123" s="15">
        <f>(Table1[[#This Row],[Revenue]]-Table1[[#This Row],[Market_Budget]])/Table1[[#This Row],[Market_Budget]]</f>
        <v>-0.12582269735645976</v>
      </c>
      <c r="Y123" s="5">
        <f>Table1[[#This Row],[Revenue]]-Table1[[#This Row],[Market_Budget]]</f>
        <v>-13841</v>
      </c>
    </row>
    <row r="124" spans="1:25" x14ac:dyDescent="0.35">
      <c r="A124">
        <v>348934</v>
      </c>
      <c r="B124" s="1">
        <v>44239</v>
      </c>
      <c r="C124" s="1" t="str">
        <f>TEXT(Table1[[#This Row],[Date]],"dddd")</f>
        <v>Friday</v>
      </c>
      <c r="D124" s="1" t="str">
        <f>IF(WEEKDAY(Table1[[#This Row],[Date]],2)&gt;5,"Weekend","Weekday")</f>
        <v>Weekday</v>
      </c>
      <c r="E124" t="s">
        <v>37</v>
      </c>
      <c r="F124" t="str">
        <f>_xlfn.TEXTAFTER(Table1[[#This Row],[Campaign_Name]],"_")</f>
        <v>Tier2</v>
      </c>
      <c r="G124" t="str">
        <f>IF(ISNUMBER(SEARCH("Tier1",Table1[[#This Row],[Campaign_Name]])),"Tier1",IF(ISNUMBER(SEARCH("Tier2",Table1[[#This Row],[Campaign_Name]])),"Tier2","Not Applicable"))</f>
        <v>Tier2</v>
      </c>
      <c r="H124" t="s">
        <v>61</v>
      </c>
      <c r="I124" s="3">
        <v>191722</v>
      </c>
      <c r="J124" s="7">
        <v>2639200</v>
      </c>
      <c r="K124" s="7">
        <v>13196</v>
      </c>
      <c r="L124" s="7">
        <v>325</v>
      </c>
      <c r="M124" s="7">
        <v>32</v>
      </c>
      <c r="N124" s="2">
        <v>176512</v>
      </c>
      <c r="O124" s="6">
        <f>Table1[[#This Row],[Clicks]]/Table1[[#This Row],[Impressions]]</f>
        <v>5.0000000000000001E-3</v>
      </c>
      <c r="P124" s="6">
        <f>Table1[[#This Row],[Leads]]/Table1[[#This Row],[Clicks]]</f>
        <v>2.4628675356168535E-2</v>
      </c>
      <c r="Q124" s="6" t="str">
        <f>IF(Table1[[#This Row],[Conversion1]]&gt;=2%,"High","Low")</f>
        <v>High</v>
      </c>
      <c r="R124" s="6">
        <f>IFERROR(Table1[[#This Row],[Orders]]/Table1[[#This Row],[Leads]],0)</f>
        <v>9.8461538461538461E-2</v>
      </c>
      <c r="S124" s="6" t="str">
        <f>IF(Table1[[#This Row],[Conversion2]]&gt;=15%,"High","Low")</f>
        <v>Low</v>
      </c>
      <c r="T124" s="4">
        <f>IFERROR(Table1[[#This Row],[Revenue]]/Table1[[#This Row],[Orders]],0)</f>
        <v>5516</v>
      </c>
      <c r="U124" s="4">
        <f>Table1[[#This Row],[Market_Budget]]/Table1[[#This Row],[Clicks]]</f>
        <v>14.528796605031827</v>
      </c>
      <c r="V124" s="4">
        <f>IFERROR(Table1[[#This Row],[Market_Budget]]/Table1[[#This Row],[Leads]],0)</f>
        <v>589.91384615384618</v>
      </c>
      <c r="W124" s="4">
        <f>IFERROR(Table1[[#This Row],[Market_Budget]]/Table1[[#This Row],[Orders]],0)</f>
        <v>5991.3125</v>
      </c>
      <c r="X124" s="15">
        <f>(Table1[[#This Row],[Revenue]]-Table1[[#This Row],[Market_Budget]])/Table1[[#This Row],[Market_Budget]]</f>
        <v>-7.9333618468407377E-2</v>
      </c>
      <c r="Y124" s="5">
        <f>Table1[[#This Row],[Revenue]]-Table1[[#This Row],[Market_Budget]]</f>
        <v>-15210</v>
      </c>
    </row>
    <row r="125" spans="1:25" x14ac:dyDescent="0.35">
      <c r="A125">
        <v>89459845</v>
      </c>
      <c r="B125" s="1">
        <v>44239</v>
      </c>
      <c r="C125" s="1" t="str">
        <f>TEXT(Table1[[#This Row],[Date]],"dddd")</f>
        <v>Friday</v>
      </c>
      <c r="D125" s="1" t="str">
        <f>IF(WEEKDAY(Table1[[#This Row],[Date]],2)&gt;5,"Weekend","Weekday")</f>
        <v>Weekday</v>
      </c>
      <c r="E125" t="s">
        <v>38</v>
      </c>
      <c r="F125" t="str">
        <f>_xlfn.TEXTAFTER(Table1[[#This Row],[Campaign_Name]],"_")</f>
        <v>Hot</v>
      </c>
      <c r="G125" t="str">
        <f>IF(ISNUMBER(SEARCH("Tier1",Table1[[#This Row],[Campaign_Name]])),"Tier1",IF(ISNUMBER(SEARCH("Tier2",Table1[[#This Row],[Campaign_Name]])),"Tier2","Not Applicable"))</f>
        <v>Not Applicable</v>
      </c>
      <c r="H125" t="s">
        <v>47</v>
      </c>
      <c r="I125" s="3">
        <v>59745.3</v>
      </c>
      <c r="J125" s="7">
        <v>161493</v>
      </c>
      <c r="K125" s="7">
        <v>3602</v>
      </c>
      <c r="L125" s="7">
        <v>72</v>
      </c>
      <c r="M125" s="7">
        <v>14</v>
      </c>
      <c r="N125" s="2">
        <v>122710</v>
      </c>
      <c r="O125" s="6">
        <f>Table1[[#This Row],[Clicks]]/Table1[[#This Row],[Impressions]]</f>
        <v>2.230437232573548E-2</v>
      </c>
      <c r="P125" s="6">
        <f>Table1[[#This Row],[Leads]]/Table1[[#This Row],[Clicks]]</f>
        <v>1.9988895058300944E-2</v>
      </c>
      <c r="Q125" s="6" t="str">
        <f>IF(Table1[[#This Row],[Conversion1]]&gt;=2%,"High","Low")</f>
        <v>Low</v>
      </c>
      <c r="R125" s="6">
        <f>IFERROR(Table1[[#This Row],[Orders]]/Table1[[#This Row],[Leads]],0)</f>
        <v>0.19444444444444445</v>
      </c>
      <c r="S125" s="6" t="str">
        <f>IF(Table1[[#This Row],[Conversion2]]&gt;=15%,"High","Low")</f>
        <v>High</v>
      </c>
      <c r="T125" s="4">
        <f>IFERROR(Table1[[#This Row],[Revenue]]/Table1[[#This Row],[Orders]],0)</f>
        <v>8765</v>
      </c>
      <c r="U125" s="4">
        <f>Table1[[#This Row],[Market_Budget]]/Table1[[#This Row],[Clicks]]</f>
        <v>16.586701832315381</v>
      </c>
      <c r="V125" s="4">
        <f>IFERROR(Table1[[#This Row],[Market_Budget]]/Table1[[#This Row],[Leads]],0)</f>
        <v>829.79583333333335</v>
      </c>
      <c r="W125" s="4">
        <f>IFERROR(Table1[[#This Row],[Market_Budget]]/Table1[[#This Row],[Orders]],0)</f>
        <v>4267.5214285714292</v>
      </c>
      <c r="X125" s="15">
        <f>(Table1[[#This Row],[Revenue]]-Table1[[#This Row],[Market_Budget]])/Table1[[#This Row],[Market_Budget]]</f>
        <v>1.0538854102331061</v>
      </c>
      <c r="Y125" s="5">
        <f>Table1[[#This Row],[Revenue]]-Table1[[#This Row],[Market_Budget]]</f>
        <v>62964.7</v>
      </c>
    </row>
    <row r="126" spans="1:25" x14ac:dyDescent="0.35">
      <c r="A126">
        <v>127823</v>
      </c>
      <c r="B126" s="1">
        <v>44239</v>
      </c>
      <c r="C126" s="1" t="str">
        <f>TEXT(Table1[[#This Row],[Date]],"dddd")</f>
        <v>Friday</v>
      </c>
      <c r="D126" s="1" t="str">
        <f>IF(WEEKDAY(Table1[[#This Row],[Date]],2)&gt;5,"Weekend","Weekday")</f>
        <v>Weekday</v>
      </c>
      <c r="E126" t="s">
        <v>39</v>
      </c>
      <c r="F126" t="str">
        <f>_xlfn.TEXTAFTER(Table1[[#This Row],[Campaign_Name]],"_")</f>
        <v>Wide</v>
      </c>
      <c r="G126" t="str">
        <f>IF(ISNUMBER(SEARCH("Tier1",Table1[[#This Row],[Campaign_Name]])),"Tier1",IF(ISNUMBER(SEARCH("Tier2",Table1[[#This Row],[Campaign_Name]])),"Tier2","Not Applicable"))</f>
        <v>Not Applicable</v>
      </c>
      <c r="H126" t="s">
        <v>47</v>
      </c>
      <c r="I126" s="3">
        <v>86733.1</v>
      </c>
      <c r="J126" s="7">
        <v>1502383</v>
      </c>
      <c r="K126" s="7">
        <v>9605</v>
      </c>
      <c r="L126" s="7">
        <v>192</v>
      </c>
      <c r="M126" s="7">
        <v>19</v>
      </c>
      <c r="N126" s="2">
        <v>56639</v>
      </c>
      <c r="O126" s="6">
        <f>Table1[[#This Row],[Clicks]]/Table1[[#This Row],[Impressions]]</f>
        <v>6.3931767066054395E-3</v>
      </c>
      <c r="P126" s="6">
        <f>Table1[[#This Row],[Leads]]/Table1[[#This Row],[Clicks]]</f>
        <v>1.9989588755856325E-2</v>
      </c>
      <c r="Q126" s="6" t="str">
        <f>IF(Table1[[#This Row],[Conversion1]]&gt;=2%,"High","Low")</f>
        <v>Low</v>
      </c>
      <c r="R126" s="6">
        <f>IFERROR(Table1[[#This Row],[Orders]]/Table1[[#This Row],[Leads]],0)</f>
        <v>9.8958333333333329E-2</v>
      </c>
      <c r="S126" s="6" t="str">
        <f>IF(Table1[[#This Row],[Conversion2]]&gt;=15%,"High","Low")</f>
        <v>Low</v>
      </c>
      <c r="T126" s="4">
        <f>IFERROR(Table1[[#This Row],[Revenue]]/Table1[[#This Row],[Orders]],0)</f>
        <v>2981</v>
      </c>
      <c r="U126" s="4">
        <f>Table1[[#This Row],[Market_Budget]]/Table1[[#This Row],[Clicks]]</f>
        <v>9.0299947943779291</v>
      </c>
      <c r="V126" s="4">
        <f>IFERROR(Table1[[#This Row],[Market_Budget]]/Table1[[#This Row],[Leads]],0)</f>
        <v>451.73489583333338</v>
      </c>
      <c r="W126" s="4">
        <f>IFERROR(Table1[[#This Row],[Market_Budget]]/Table1[[#This Row],[Orders]],0)</f>
        <v>4564.9000000000005</v>
      </c>
      <c r="X126" s="15">
        <f>(Table1[[#This Row],[Revenue]]-Table1[[#This Row],[Market_Budget]])/Table1[[#This Row],[Market_Budget]]</f>
        <v>-0.34697364673924952</v>
      </c>
      <c r="Y126" s="5">
        <f>Table1[[#This Row],[Revenue]]-Table1[[#This Row],[Market_Budget]]</f>
        <v>-30094.100000000006</v>
      </c>
    </row>
    <row r="127" spans="1:25" x14ac:dyDescent="0.35">
      <c r="A127">
        <v>10934</v>
      </c>
      <c r="B127" s="1">
        <v>44239</v>
      </c>
      <c r="C127" s="1" t="str">
        <f>TEXT(Table1[[#This Row],[Date]],"dddd")</f>
        <v>Friday</v>
      </c>
      <c r="D127" s="1" t="str">
        <f>IF(WEEKDAY(Table1[[#This Row],[Date]],2)&gt;5,"Weekend","Weekday")</f>
        <v>Weekday</v>
      </c>
      <c r="E127" t="s">
        <v>40</v>
      </c>
      <c r="F127" t="str">
        <f>_xlfn.TEXTAFTER(Table1[[#This Row],[Campaign_Name]],"_")</f>
        <v>Blogger</v>
      </c>
      <c r="G127" t="str">
        <f>IF(ISNUMBER(SEARCH("Tier1",Table1[[#This Row],[Campaign_Name]])),"Tier1",IF(ISNUMBER(SEARCH("Tier2",Table1[[#This Row],[Campaign_Name]])),"Tier2","Not Applicable"))</f>
        <v>Not Applicable</v>
      </c>
      <c r="H127" t="s">
        <v>48</v>
      </c>
      <c r="I127" s="3">
        <v>121652</v>
      </c>
      <c r="J127" s="7">
        <v>1299708</v>
      </c>
      <c r="K127" s="7">
        <v>17994</v>
      </c>
      <c r="L127" s="7">
        <v>378</v>
      </c>
      <c r="M127" s="7">
        <v>61</v>
      </c>
      <c r="N127" s="2">
        <v>486841</v>
      </c>
      <c r="O127" s="6">
        <f>Table1[[#This Row],[Clicks]]/Table1[[#This Row],[Impressions]]</f>
        <v>1.3844648182514841E-2</v>
      </c>
      <c r="P127" s="6">
        <f>Table1[[#This Row],[Leads]]/Table1[[#This Row],[Clicks]]</f>
        <v>2.1007002334111371E-2</v>
      </c>
      <c r="Q127" s="6" t="str">
        <f>IF(Table1[[#This Row],[Conversion1]]&gt;=2%,"High","Low")</f>
        <v>High</v>
      </c>
      <c r="R127" s="6">
        <f>IFERROR(Table1[[#This Row],[Orders]]/Table1[[#This Row],[Leads]],0)</f>
        <v>0.16137566137566137</v>
      </c>
      <c r="S127" s="6" t="str">
        <f>IF(Table1[[#This Row],[Conversion2]]&gt;=15%,"High","Low")</f>
        <v>High</v>
      </c>
      <c r="T127" s="4">
        <f>IFERROR(Table1[[#This Row],[Revenue]]/Table1[[#This Row],[Orders]],0)</f>
        <v>7981</v>
      </c>
      <c r="U127" s="4">
        <f>Table1[[#This Row],[Market_Budget]]/Table1[[#This Row],[Clicks]]</f>
        <v>6.7606980104479275</v>
      </c>
      <c r="V127" s="4">
        <f>IFERROR(Table1[[#This Row],[Market_Budget]]/Table1[[#This Row],[Leads]],0)</f>
        <v>321.83068783068785</v>
      </c>
      <c r="W127" s="4">
        <f>IFERROR(Table1[[#This Row],[Market_Budget]]/Table1[[#This Row],[Orders]],0)</f>
        <v>1994.295081967213</v>
      </c>
      <c r="X127" s="15">
        <f>(Table1[[#This Row],[Revenue]]-Table1[[#This Row],[Market_Budget]])/Table1[[#This Row],[Market_Budget]]</f>
        <v>3.0019152993785552</v>
      </c>
      <c r="Y127" s="5">
        <f>Table1[[#This Row],[Revenue]]-Table1[[#This Row],[Market_Budget]]</f>
        <v>365189</v>
      </c>
    </row>
    <row r="128" spans="1:25" x14ac:dyDescent="0.35">
      <c r="A128">
        <v>9034945</v>
      </c>
      <c r="B128" s="1">
        <v>44239</v>
      </c>
      <c r="C128" s="1" t="str">
        <f>TEXT(Table1[[#This Row],[Date]],"dddd")</f>
        <v>Friday</v>
      </c>
      <c r="D128" s="1" t="str">
        <f>IF(WEEKDAY(Table1[[#This Row],[Date]],2)&gt;5,"Weekend","Weekday")</f>
        <v>Weekday</v>
      </c>
      <c r="E128" t="s">
        <v>41</v>
      </c>
      <c r="F128" t="str">
        <f>_xlfn.TEXTAFTER(Table1[[#This Row],[Campaign_Name]],"_")</f>
        <v>Tier1</v>
      </c>
      <c r="G128" t="str">
        <f>IF(ISNUMBER(SEARCH("Tier1",Table1[[#This Row],[Campaign_Name]])),"Tier1",IF(ISNUMBER(SEARCH("Tier2",Table1[[#This Row],[Campaign_Name]])),"Tier2","Not Applicable"))</f>
        <v>Tier1</v>
      </c>
      <c r="H128" t="s">
        <v>61</v>
      </c>
      <c r="I128" s="3">
        <v>26659.9</v>
      </c>
      <c r="J128" s="7">
        <v>3735390</v>
      </c>
      <c r="K128" s="7">
        <v>10806</v>
      </c>
      <c r="L128" s="7">
        <v>115</v>
      </c>
      <c r="M128" s="7">
        <v>9</v>
      </c>
      <c r="N128" s="2">
        <v>53523</v>
      </c>
      <c r="O128" s="6">
        <f>Table1[[#This Row],[Clicks]]/Table1[[#This Row],[Impressions]]</f>
        <v>2.8928706239509127E-3</v>
      </c>
      <c r="P128" s="6">
        <f>Table1[[#This Row],[Leads]]/Table1[[#This Row],[Clicks]]</f>
        <v>1.0642235794928743E-2</v>
      </c>
      <c r="Q128" s="6" t="str">
        <f>IF(Table1[[#This Row],[Conversion1]]&gt;=2%,"High","Low")</f>
        <v>Low</v>
      </c>
      <c r="R128" s="6">
        <f>IFERROR(Table1[[#This Row],[Orders]]/Table1[[#This Row],[Leads]],0)</f>
        <v>7.8260869565217397E-2</v>
      </c>
      <c r="S128" s="6" t="str">
        <f>IF(Table1[[#This Row],[Conversion2]]&gt;=15%,"High","Low")</f>
        <v>Low</v>
      </c>
      <c r="T128" s="4">
        <f>IFERROR(Table1[[#This Row],[Revenue]]/Table1[[#This Row],[Orders]],0)</f>
        <v>5947</v>
      </c>
      <c r="U128" s="4">
        <f>Table1[[#This Row],[Market_Budget]]/Table1[[#This Row],[Clicks]]</f>
        <v>2.4671386266888766</v>
      </c>
      <c r="V128" s="4">
        <f>IFERROR(Table1[[#This Row],[Market_Budget]]/Table1[[#This Row],[Leads]],0)</f>
        <v>231.82521739130436</v>
      </c>
      <c r="W128" s="4">
        <f>IFERROR(Table1[[#This Row],[Market_Budget]]/Table1[[#This Row],[Orders]],0)</f>
        <v>2962.2111111111112</v>
      </c>
      <c r="X128" s="15">
        <f>(Table1[[#This Row],[Revenue]]-Table1[[#This Row],[Market_Budget]])/Table1[[#This Row],[Market_Budget]]</f>
        <v>1.0076219340657691</v>
      </c>
      <c r="Y128" s="5">
        <f>Table1[[#This Row],[Revenue]]-Table1[[#This Row],[Market_Budget]]</f>
        <v>26863.1</v>
      </c>
    </row>
    <row r="129" spans="1:25" x14ac:dyDescent="0.35">
      <c r="A129">
        <v>983498</v>
      </c>
      <c r="B129" s="1">
        <v>44239</v>
      </c>
      <c r="C129" s="1" t="str">
        <f>TEXT(Table1[[#This Row],[Date]],"dddd")</f>
        <v>Friday</v>
      </c>
      <c r="D129" s="1" t="str">
        <f>IF(WEEKDAY(Table1[[#This Row],[Date]],2)&gt;5,"Weekend","Weekday")</f>
        <v>Weekday</v>
      </c>
      <c r="E129" t="s">
        <v>42</v>
      </c>
      <c r="F129" t="str">
        <f>_xlfn.TEXTAFTER(Table1[[#This Row],[Campaign_Name]],"_")</f>
        <v>Tier2</v>
      </c>
      <c r="G129" t="str">
        <f>IF(ISNUMBER(SEARCH("Tier1",Table1[[#This Row],[Campaign_Name]])),"Tier1",IF(ISNUMBER(SEARCH("Tier2",Table1[[#This Row],[Campaign_Name]])),"Tier2","Not Applicable"))</f>
        <v>Tier2</v>
      </c>
      <c r="H129" t="s">
        <v>61</v>
      </c>
      <c r="I129" s="3">
        <v>49060.3</v>
      </c>
      <c r="J129" s="7">
        <v>7156880</v>
      </c>
      <c r="K129" s="7">
        <v>20391</v>
      </c>
      <c r="L129" s="7">
        <v>408</v>
      </c>
      <c r="M129" s="7">
        <v>15</v>
      </c>
      <c r="N129" s="2">
        <v>29715</v>
      </c>
      <c r="O129" s="6">
        <f>Table1[[#This Row],[Clicks]]/Table1[[#This Row],[Impressions]]</f>
        <v>2.8491465554822772E-3</v>
      </c>
      <c r="P129" s="6">
        <f>Table1[[#This Row],[Leads]]/Table1[[#This Row],[Clicks]]</f>
        <v>2.0008827423863468E-2</v>
      </c>
      <c r="Q129" s="6" t="str">
        <f>IF(Table1[[#This Row],[Conversion1]]&gt;=2%,"High","Low")</f>
        <v>High</v>
      </c>
      <c r="R129" s="6">
        <f>IFERROR(Table1[[#This Row],[Orders]]/Table1[[#This Row],[Leads]],0)</f>
        <v>3.6764705882352942E-2</v>
      </c>
      <c r="S129" s="6" t="str">
        <f>IF(Table1[[#This Row],[Conversion2]]&gt;=15%,"High","Low")</f>
        <v>Low</v>
      </c>
      <c r="T129" s="4">
        <f>IFERROR(Table1[[#This Row],[Revenue]]/Table1[[#This Row],[Orders]],0)</f>
        <v>1981</v>
      </c>
      <c r="U129" s="4">
        <f>Table1[[#This Row],[Market_Budget]]/Table1[[#This Row],[Clicks]]</f>
        <v>2.4059781276053163</v>
      </c>
      <c r="V129" s="4">
        <f>IFERROR(Table1[[#This Row],[Market_Budget]]/Table1[[#This Row],[Leads]],0)</f>
        <v>120.24583333333334</v>
      </c>
      <c r="W129" s="4">
        <f>IFERROR(Table1[[#This Row],[Market_Budget]]/Table1[[#This Row],[Orders]],0)</f>
        <v>3270.686666666667</v>
      </c>
      <c r="X129" s="15">
        <f>(Table1[[#This Row],[Revenue]]-Table1[[#This Row],[Market_Budget]])/Table1[[#This Row],[Market_Budget]]</f>
        <v>-0.3943167897464957</v>
      </c>
      <c r="Y129" s="5">
        <f>Table1[[#This Row],[Revenue]]-Table1[[#This Row],[Market_Budget]]</f>
        <v>-19345.300000000003</v>
      </c>
    </row>
    <row r="130" spans="1:25" x14ac:dyDescent="0.35">
      <c r="A130">
        <v>4387490</v>
      </c>
      <c r="B130" s="1">
        <v>44239</v>
      </c>
      <c r="C130" s="1" t="str">
        <f>TEXT(Table1[[#This Row],[Date]],"dddd")</f>
        <v>Friday</v>
      </c>
      <c r="D130" s="1" t="str">
        <f>IF(WEEKDAY(Table1[[#This Row],[Date]],2)&gt;5,"Weekend","Weekday")</f>
        <v>Weekday</v>
      </c>
      <c r="E130" t="s">
        <v>43</v>
      </c>
      <c r="F130" t="str">
        <f>_xlfn.TEXTAFTER(Table1[[#This Row],[Campaign_Name]],"_")</f>
        <v>Retargeting</v>
      </c>
      <c r="G130" t="str">
        <f>IF(ISNUMBER(SEARCH("Tier1",Table1[[#This Row],[Campaign_Name]])),"Tier1",IF(ISNUMBER(SEARCH("Tier2",Table1[[#This Row],[Campaign_Name]])),"Tier2","Not Applicable"))</f>
        <v>Not Applicable</v>
      </c>
      <c r="H130" t="s">
        <v>61</v>
      </c>
      <c r="I130" s="3">
        <v>11278.3</v>
      </c>
      <c r="J130" s="7">
        <v>42587</v>
      </c>
      <c r="K130" s="7">
        <v>1207</v>
      </c>
      <c r="L130" s="7">
        <v>34</v>
      </c>
      <c r="M130" s="7">
        <v>8</v>
      </c>
      <c r="N130" s="2">
        <v>39848</v>
      </c>
      <c r="O130" s="6">
        <f>Table1[[#This Row],[Clicks]]/Table1[[#This Row],[Impressions]]</f>
        <v>2.834198229506657E-2</v>
      </c>
      <c r="P130" s="6">
        <f>Table1[[#This Row],[Leads]]/Table1[[#This Row],[Clicks]]</f>
        <v>2.8169014084507043E-2</v>
      </c>
      <c r="Q130" s="6" t="str">
        <f>IF(Table1[[#This Row],[Conversion1]]&gt;=2%,"High","Low")</f>
        <v>High</v>
      </c>
      <c r="R130" s="6">
        <f>IFERROR(Table1[[#This Row],[Orders]]/Table1[[#This Row],[Leads]],0)</f>
        <v>0.23529411764705882</v>
      </c>
      <c r="S130" s="6" t="str">
        <f>IF(Table1[[#This Row],[Conversion2]]&gt;=15%,"High","Low")</f>
        <v>High</v>
      </c>
      <c r="T130" s="4">
        <f>IFERROR(Table1[[#This Row],[Revenue]]/Table1[[#This Row],[Orders]],0)</f>
        <v>4981</v>
      </c>
      <c r="U130" s="4">
        <f>Table1[[#This Row],[Market_Budget]]/Table1[[#This Row],[Clicks]]</f>
        <v>9.3440762220381099</v>
      </c>
      <c r="V130" s="4">
        <f>IFERROR(Table1[[#This Row],[Market_Budget]]/Table1[[#This Row],[Leads]],0)</f>
        <v>331.71470588235292</v>
      </c>
      <c r="W130" s="4">
        <f>IFERROR(Table1[[#This Row],[Market_Budget]]/Table1[[#This Row],[Orders]],0)</f>
        <v>1409.7874999999999</v>
      </c>
      <c r="X130" s="15">
        <f>(Table1[[#This Row],[Revenue]]-Table1[[#This Row],[Market_Budget]])/Table1[[#This Row],[Market_Budget]]</f>
        <v>2.5331565927489073</v>
      </c>
      <c r="Y130" s="5">
        <f>Table1[[#This Row],[Revenue]]-Table1[[#This Row],[Market_Budget]]</f>
        <v>28569.7</v>
      </c>
    </row>
    <row r="131" spans="1:25" x14ac:dyDescent="0.35">
      <c r="A131">
        <v>544756</v>
      </c>
      <c r="B131" s="1">
        <v>44239</v>
      </c>
      <c r="C131" s="1" t="str">
        <f>TEXT(Table1[[#This Row],[Date]],"dddd")</f>
        <v>Friday</v>
      </c>
      <c r="D131" s="1" t="str">
        <f>IF(WEEKDAY(Table1[[#This Row],[Date]],2)&gt;5,"Weekend","Weekday")</f>
        <v>Weekday</v>
      </c>
      <c r="E131" t="s">
        <v>44</v>
      </c>
      <c r="F131" t="str">
        <f>_xlfn.TEXTAFTER(Table1[[#This Row],[Campaign_Name]],"_")</f>
        <v>Lal</v>
      </c>
      <c r="G131" t="str">
        <f>IF(ISNUMBER(SEARCH("Tier1",Table1[[#This Row],[Campaign_Name]])),"Tier1",IF(ISNUMBER(SEARCH("Tier2",Table1[[#This Row],[Campaign_Name]])),"Tier2","Not Applicable"))</f>
        <v>Not Applicable</v>
      </c>
      <c r="H131" t="s">
        <v>61</v>
      </c>
      <c r="I131" s="3">
        <v>44580.9</v>
      </c>
      <c r="J131" s="7">
        <v>480000</v>
      </c>
      <c r="K131" s="7">
        <v>4800</v>
      </c>
      <c r="L131" s="7">
        <v>33</v>
      </c>
      <c r="M131" s="7">
        <v>5</v>
      </c>
      <c r="N131" s="2">
        <v>6945</v>
      </c>
      <c r="O131" s="6">
        <f>Table1[[#This Row],[Clicks]]/Table1[[#This Row],[Impressions]]</f>
        <v>0.01</v>
      </c>
      <c r="P131" s="6">
        <f>Table1[[#This Row],[Leads]]/Table1[[#This Row],[Clicks]]</f>
        <v>6.875E-3</v>
      </c>
      <c r="Q131" s="6" t="str">
        <f>IF(Table1[[#This Row],[Conversion1]]&gt;=2%,"High","Low")</f>
        <v>Low</v>
      </c>
      <c r="R131" s="6">
        <f>IFERROR(Table1[[#This Row],[Orders]]/Table1[[#This Row],[Leads]],0)</f>
        <v>0.15151515151515152</v>
      </c>
      <c r="S131" s="6" t="str">
        <f>IF(Table1[[#This Row],[Conversion2]]&gt;=15%,"High","Low")</f>
        <v>High</v>
      </c>
      <c r="T131" s="4">
        <f>IFERROR(Table1[[#This Row],[Revenue]]/Table1[[#This Row],[Orders]],0)</f>
        <v>1389</v>
      </c>
      <c r="U131" s="4">
        <f>Table1[[#This Row],[Market_Budget]]/Table1[[#This Row],[Clicks]]</f>
        <v>9.2876875000000005</v>
      </c>
      <c r="V131" s="4">
        <f>IFERROR(Table1[[#This Row],[Market_Budget]]/Table1[[#This Row],[Leads]],0)</f>
        <v>1350.9363636363637</v>
      </c>
      <c r="W131" s="4">
        <f>IFERROR(Table1[[#This Row],[Market_Budget]]/Table1[[#This Row],[Orders]],0)</f>
        <v>8916.18</v>
      </c>
      <c r="X131" s="15">
        <f>(Table1[[#This Row],[Revenue]]-Table1[[#This Row],[Market_Budget]])/Table1[[#This Row],[Market_Budget]]</f>
        <v>-0.84421579645094647</v>
      </c>
      <c r="Y131" s="5">
        <f>Table1[[#This Row],[Revenue]]-Table1[[#This Row],[Market_Budget]]</f>
        <v>-37635.9</v>
      </c>
    </row>
    <row r="132" spans="1:25" x14ac:dyDescent="0.35">
      <c r="A132">
        <v>374754</v>
      </c>
      <c r="B132" s="1">
        <v>44239</v>
      </c>
      <c r="C132" s="1" t="str">
        <f>TEXT(Table1[[#This Row],[Date]],"dddd")</f>
        <v>Friday</v>
      </c>
      <c r="D132" s="1" t="str">
        <f>IF(WEEKDAY(Table1[[#This Row],[Date]],2)&gt;5,"Weekend","Weekday")</f>
        <v>Weekday</v>
      </c>
      <c r="E132" t="s">
        <v>45</v>
      </c>
      <c r="F132" t="str">
        <f>_xlfn.TEXTAFTER(Table1[[#This Row],[Campaign_Name]],"_")</f>
        <v>Blogger</v>
      </c>
      <c r="G132" t="str">
        <f>IF(ISNUMBER(SEARCH("Tier1",Table1[[#This Row],[Campaign_Name]])),"Tier1",IF(ISNUMBER(SEARCH("Tier2",Table1[[#This Row],[Campaign_Name]])),"Tier2","Not Applicable"))</f>
        <v>Not Applicable</v>
      </c>
      <c r="H132" t="s">
        <v>48</v>
      </c>
      <c r="I132" s="3">
        <v>308572</v>
      </c>
      <c r="J132" s="7">
        <v>1200300</v>
      </c>
      <c r="K132" s="7">
        <v>12003</v>
      </c>
      <c r="L132" s="7">
        <v>412</v>
      </c>
      <c r="M132" s="7">
        <v>79</v>
      </c>
      <c r="N132" s="2">
        <v>393499</v>
      </c>
      <c r="O132" s="6">
        <f>Table1[[#This Row],[Clicks]]/Table1[[#This Row],[Impressions]]</f>
        <v>0.01</v>
      </c>
      <c r="P132" s="6">
        <f>Table1[[#This Row],[Leads]]/Table1[[#This Row],[Clicks]]</f>
        <v>3.4324752145297011E-2</v>
      </c>
      <c r="Q132" s="6" t="str">
        <f>IF(Table1[[#This Row],[Conversion1]]&gt;=2%,"High","Low")</f>
        <v>High</v>
      </c>
      <c r="R132" s="6">
        <f>IFERROR(Table1[[#This Row],[Orders]]/Table1[[#This Row],[Leads]],0)</f>
        <v>0.19174757281553398</v>
      </c>
      <c r="S132" s="6" t="str">
        <f>IF(Table1[[#This Row],[Conversion2]]&gt;=15%,"High","Low")</f>
        <v>High</v>
      </c>
      <c r="T132" s="4">
        <f>IFERROR(Table1[[#This Row],[Revenue]]/Table1[[#This Row],[Orders]],0)</f>
        <v>4981</v>
      </c>
      <c r="U132" s="4">
        <f>Table1[[#This Row],[Market_Budget]]/Table1[[#This Row],[Clicks]]</f>
        <v>25.707906356744147</v>
      </c>
      <c r="V132" s="4">
        <f>IFERROR(Table1[[#This Row],[Market_Budget]]/Table1[[#This Row],[Leads]],0)</f>
        <v>748.96116504854365</v>
      </c>
      <c r="W132" s="4">
        <f>IFERROR(Table1[[#This Row],[Market_Budget]]/Table1[[#This Row],[Orders]],0)</f>
        <v>3905.9746835443038</v>
      </c>
      <c r="X132" s="15">
        <f>(Table1[[#This Row],[Revenue]]-Table1[[#This Row],[Market_Budget]])/Table1[[#This Row],[Market_Budget]]</f>
        <v>0.27522587921133479</v>
      </c>
      <c r="Y132" s="5">
        <f>Table1[[#This Row],[Revenue]]-Table1[[#This Row],[Market_Budget]]</f>
        <v>84927</v>
      </c>
    </row>
    <row r="133" spans="1:25" x14ac:dyDescent="0.35">
      <c r="A133">
        <v>39889</v>
      </c>
      <c r="B133" s="1">
        <v>44239</v>
      </c>
      <c r="C133" s="1" t="str">
        <f>TEXT(Table1[[#This Row],[Date]],"dddd")</f>
        <v>Friday</v>
      </c>
      <c r="D133" s="1" t="str">
        <f>IF(WEEKDAY(Table1[[#This Row],[Date]],2)&gt;5,"Weekend","Weekday")</f>
        <v>Weekday</v>
      </c>
      <c r="E133" t="s">
        <v>46</v>
      </c>
      <c r="F133" t="str">
        <f>_xlfn.TEXTAFTER(Table1[[#This Row],[Campaign_Name]],"_")</f>
        <v>Partner</v>
      </c>
      <c r="G133" t="str">
        <f>IF(ISNUMBER(SEARCH("Tier1",Table1[[#This Row],[Campaign_Name]])),"Tier1",IF(ISNUMBER(SEARCH("Tier2",Table1[[#This Row],[Campaign_Name]])),"Tier2","Not Applicable"))</f>
        <v>Not Applicable</v>
      </c>
      <c r="H133" t="s">
        <v>62</v>
      </c>
      <c r="I133" s="3">
        <v>145201</v>
      </c>
      <c r="J133" s="7">
        <v>10819771</v>
      </c>
      <c r="K133" s="7">
        <v>16808</v>
      </c>
      <c r="L133" s="7">
        <v>336</v>
      </c>
      <c r="M133" s="7">
        <v>49</v>
      </c>
      <c r="N133" s="2">
        <v>195069</v>
      </c>
      <c r="O133" s="6">
        <f>Table1[[#This Row],[Clicks]]/Table1[[#This Row],[Impressions]]</f>
        <v>1.5534524714062802E-3</v>
      </c>
      <c r="P133" s="6">
        <f>Table1[[#This Row],[Leads]]/Table1[[#This Row],[Clicks]]</f>
        <v>1.9990480723465015E-2</v>
      </c>
      <c r="Q133" s="6" t="str">
        <f>IF(Table1[[#This Row],[Conversion1]]&gt;=2%,"High","Low")</f>
        <v>Low</v>
      </c>
      <c r="R133" s="6">
        <f>IFERROR(Table1[[#This Row],[Orders]]/Table1[[#This Row],[Leads]],0)</f>
        <v>0.14583333333333334</v>
      </c>
      <c r="S133" s="6" t="str">
        <f>IF(Table1[[#This Row],[Conversion2]]&gt;=15%,"High","Low")</f>
        <v>Low</v>
      </c>
      <c r="T133" s="4">
        <f>IFERROR(Table1[[#This Row],[Revenue]]/Table1[[#This Row],[Orders]],0)</f>
        <v>3981</v>
      </c>
      <c r="U133" s="4">
        <f>Table1[[#This Row],[Market_Budget]]/Table1[[#This Row],[Clicks]]</f>
        <v>8.6388029509757267</v>
      </c>
      <c r="V133" s="4">
        <f>IFERROR(Table1[[#This Row],[Market_Budget]]/Table1[[#This Row],[Leads]],0)</f>
        <v>432.14583333333331</v>
      </c>
      <c r="W133" s="4">
        <f>IFERROR(Table1[[#This Row],[Market_Budget]]/Table1[[#This Row],[Orders]],0)</f>
        <v>2963.2857142857142</v>
      </c>
      <c r="X133" s="15">
        <f>(Table1[[#This Row],[Revenue]]-Table1[[#This Row],[Market_Budget]])/Table1[[#This Row],[Market_Budget]]</f>
        <v>0.3434411608735477</v>
      </c>
      <c r="Y133" s="5">
        <f>Table1[[#This Row],[Revenue]]-Table1[[#This Row],[Market_Budget]]</f>
        <v>49868</v>
      </c>
    </row>
    <row r="134" spans="1:25" x14ac:dyDescent="0.35">
      <c r="A134">
        <v>349043</v>
      </c>
      <c r="B134" s="1">
        <v>44240</v>
      </c>
      <c r="C134" s="1" t="str">
        <f>TEXT(Table1[[#This Row],[Date]],"dddd")</f>
        <v>Saturday</v>
      </c>
      <c r="D134" s="1" t="str">
        <f>IF(WEEKDAY(Table1[[#This Row],[Date]],2)&gt;5,"Weekend","Weekday")</f>
        <v>Weekend</v>
      </c>
      <c r="E134" t="s">
        <v>36</v>
      </c>
      <c r="F134" t="str">
        <f>_xlfn.TEXTAFTER(Table1[[#This Row],[Campaign_Name]],"_")</f>
        <v>Tier1</v>
      </c>
      <c r="G134" t="str">
        <f>IF(ISNUMBER(SEARCH("Tier1",Table1[[#This Row],[Campaign_Name]])),"Tier1",IF(ISNUMBER(SEARCH("Tier2",Table1[[#This Row],[Campaign_Name]])),"Tier2","Not Applicable"))</f>
        <v>Tier1</v>
      </c>
      <c r="H134" t="s">
        <v>61</v>
      </c>
      <c r="I134" s="3">
        <v>308692</v>
      </c>
      <c r="J134" s="7">
        <v>1496322</v>
      </c>
      <c r="K134" s="7">
        <v>11990</v>
      </c>
      <c r="L134" s="7">
        <v>397</v>
      </c>
      <c r="M134" s="7">
        <v>60</v>
      </c>
      <c r="N134" s="2">
        <v>341880</v>
      </c>
      <c r="O134" s="6">
        <f>Table1[[#This Row],[Clicks]]/Table1[[#This Row],[Impressions]]</f>
        <v>8.0129811631453659E-3</v>
      </c>
      <c r="P134" s="6">
        <f>Table1[[#This Row],[Leads]]/Table1[[#This Row],[Clicks]]</f>
        <v>3.311092577147623E-2</v>
      </c>
      <c r="Q134" s="6" t="str">
        <f>IF(Table1[[#This Row],[Conversion1]]&gt;=2%,"High","Low")</f>
        <v>High</v>
      </c>
      <c r="R134" s="6">
        <f>IFERROR(Table1[[#This Row],[Orders]]/Table1[[#This Row],[Leads]],0)</f>
        <v>0.15113350125944586</v>
      </c>
      <c r="S134" s="6" t="str">
        <f>IF(Table1[[#This Row],[Conversion2]]&gt;=15%,"High","Low")</f>
        <v>High</v>
      </c>
      <c r="T134" s="4">
        <f>IFERROR(Table1[[#This Row],[Revenue]]/Table1[[#This Row],[Orders]],0)</f>
        <v>5698</v>
      </c>
      <c r="U134" s="4">
        <f>Table1[[#This Row],[Market_Budget]]/Table1[[#This Row],[Clicks]]</f>
        <v>25.745788156797332</v>
      </c>
      <c r="V134" s="4">
        <f>IFERROR(Table1[[#This Row],[Market_Budget]]/Table1[[#This Row],[Leads]],0)</f>
        <v>777.56171284634763</v>
      </c>
      <c r="W134" s="4">
        <f>IFERROR(Table1[[#This Row],[Market_Budget]]/Table1[[#This Row],[Orders]],0)</f>
        <v>5144.8666666666668</v>
      </c>
      <c r="X134" s="15">
        <f>(Table1[[#This Row],[Revenue]]-Table1[[#This Row],[Market_Budget]])/Table1[[#This Row],[Market_Budget]]</f>
        <v>0.10751169450455471</v>
      </c>
      <c r="Y134" s="5">
        <f>Table1[[#This Row],[Revenue]]-Table1[[#This Row],[Market_Budget]]</f>
        <v>33188</v>
      </c>
    </row>
    <row r="135" spans="1:25" x14ac:dyDescent="0.35">
      <c r="A135">
        <v>348934</v>
      </c>
      <c r="B135" s="1">
        <v>44240</v>
      </c>
      <c r="C135" s="1" t="str">
        <f>TEXT(Table1[[#This Row],[Date]],"dddd")</f>
        <v>Saturday</v>
      </c>
      <c r="D135" s="1" t="str">
        <f>IF(WEEKDAY(Table1[[#This Row],[Date]],2)&gt;5,"Weekend","Weekday")</f>
        <v>Weekend</v>
      </c>
      <c r="E135" t="s">
        <v>37</v>
      </c>
      <c r="F135" t="str">
        <f>_xlfn.TEXTAFTER(Table1[[#This Row],[Campaign_Name]],"_")</f>
        <v>Tier2</v>
      </c>
      <c r="G135" t="str">
        <f>IF(ISNUMBER(SEARCH("Tier1",Table1[[#This Row],[Campaign_Name]])),"Tier1",IF(ISNUMBER(SEARCH("Tier2",Table1[[#This Row],[Campaign_Name]])),"Tier2","Not Applicable"))</f>
        <v>Tier2</v>
      </c>
      <c r="H135" t="s">
        <v>61</v>
      </c>
      <c r="I135" s="3">
        <v>325444</v>
      </c>
      <c r="J135" s="7">
        <v>2358224</v>
      </c>
      <c r="K135" s="7">
        <v>16506</v>
      </c>
      <c r="L135" s="7">
        <v>655</v>
      </c>
      <c r="M135" s="7">
        <v>52</v>
      </c>
      <c r="N135" s="2">
        <v>262184</v>
      </c>
      <c r="O135" s="6">
        <f>Table1[[#This Row],[Clicks]]/Table1[[#This Row],[Impressions]]</f>
        <v>6.9993350928495342E-3</v>
      </c>
      <c r="P135" s="6">
        <f>Table1[[#This Row],[Leads]]/Table1[[#This Row],[Clicks]]</f>
        <v>3.968253968253968E-2</v>
      </c>
      <c r="Q135" s="6" t="str">
        <f>IF(Table1[[#This Row],[Conversion1]]&gt;=2%,"High","Low")</f>
        <v>High</v>
      </c>
      <c r="R135" s="6">
        <f>IFERROR(Table1[[#This Row],[Orders]]/Table1[[#This Row],[Leads]],0)</f>
        <v>7.9389312977099238E-2</v>
      </c>
      <c r="S135" s="6" t="str">
        <f>IF(Table1[[#This Row],[Conversion2]]&gt;=15%,"High","Low")</f>
        <v>Low</v>
      </c>
      <c r="T135" s="4">
        <f>IFERROR(Table1[[#This Row],[Revenue]]/Table1[[#This Row],[Orders]],0)</f>
        <v>5042</v>
      </c>
      <c r="U135" s="4">
        <f>Table1[[#This Row],[Market_Budget]]/Table1[[#This Row],[Clicks]]</f>
        <v>19.716709075487703</v>
      </c>
      <c r="V135" s="4">
        <f>IFERROR(Table1[[#This Row],[Market_Budget]]/Table1[[#This Row],[Leads]],0)</f>
        <v>496.86106870229008</v>
      </c>
      <c r="W135" s="4">
        <f>IFERROR(Table1[[#This Row],[Market_Budget]]/Table1[[#This Row],[Orders]],0)</f>
        <v>6258.5384615384619</v>
      </c>
      <c r="X135" s="15">
        <f>(Table1[[#This Row],[Revenue]]-Table1[[#This Row],[Market_Budget]])/Table1[[#This Row],[Market_Budget]]</f>
        <v>-0.19438060004178906</v>
      </c>
      <c r="Y135" s="5">
        <f>Table1[[#This Row],[Revenue]]-Table1[[#This Row],[Market_Budget]]</f>
        <v>-63260</v>
      </c>
    </row>
    <row r="136" spans="1:25" x14ac:dyDescent="0.35">
      <c r="A136">
        <v>89459845</v>
      </c>
      <c r="B136" s="1">
        <v>44240</v>
      </c>
      <c r="C136" s="1" t="str">
        <f>TEXT(Table1[[#This Row],[Date]],"dddd")</f>
        <v>Saturday</v>
      </c>
      <c r="D136" s="1" t="str">
        <f>IF(WEEKDAY(Table1[[#This Row],[Date]],2)&gt;5,"Weekend","Weekday")</f>
        <v>Weekend</v>
      </c>
      <c r="E136" t="s">
        <v>38</v>
      </c>
      <c r="F136" t="str">
        <f>_xlfn.TEXTAFTER(Table1[[#This Row],[Campaign_Name]],"_")</f>
        <v>Hot</v>
      </c>
      <c r="G136" t="str">
        <f>IF(ISNUMBER(SEARCH("Tier1",Table1[[#This Row],[Campaign_Name]])),"Tier1",IF(ISNUMBER(SEARCH("Tier2",Table1[[#This Row],[Campaign_Name]])),"Tier2","Not Applicable"))</f>
        <v>Not Applicable</v>
      </c>
      <c r="H136" t="s">
        <v>47</v>
      </c>
      <c r="I136" s="3">
        <v>61588.1</v>
      </c>
      <c r="J136" s="7">
        <v>225350</v>
      </c>
      <c r="K136" s="7">
        <v>4507</v>
      </c>
      <c r="L136" s="7">
        <v>100</v>
      </c>
      <c r="M136" s="7">
        <v>17</v>
      </c>
      <c r="N136" s="2">
        <v>152660</v>
      </c>
      <c r="O136" s="6">
        <f>Table1[[#This Row],[Clicks]]/Table1[[#This Row],[Impressions]]</f>
        <v>0.02</v>
      </c>
      <c r="P136" s="6">
        <f>Table1[[#This Row],[Leads]]/Table1[[#This Row],[Clicks]]</f>
        <v>2.218770800976259E-2</v>
      </c>
      <c r="Q136" s="6" t="str">
        <f>IF(Table1[[#This Row],[Conversion1]]&gt;=2%,"High","Low")</f>
        <v>High</v>
      </c>
      <c r="R136" s="6">
        <f>IFERROR(Table1[[#This Row],[Orders]]/Table1[[#This Row],[Leads]],0)</f>
        <v>0.17</v>
      </c>
      <c r="S136" s="6" t="str">
        <f>IF(Table1[[#This Row],[Conversion2]]&gt;=15%,"High","Low")</f>
        <v>High</v>
      </c>
      <c r="T136" s="4">
        <f>IFERROR(Table1[[#This Row],[Revenue]]/Table1[[#This Row],[Orders]],0)</f>
        <v>8980</v>
      </c>
      <c r="U136" s="4">
        <f>Table1[[#This Row],[Market_Budget]]/Table1[[#This Row],[Clicks]]</f>
        <v>13.664987796760593</v>
      </c>
      <c r="V136" s="4">
        <f>IFERROR(Table1[[#This Row],[Market_Budget]]/Table1[[#This Row],[Leads]],0)</f>
        <v>615.88099999999997</v>
      </c>
      <c r="W136" s="4">
        <f>IFERROR(Table1[[#This Row],[Market_Budget]]/Table1[[#This Row],[Orders]],0)</f>
        <v>3622.8294117647056</v>
      </c>
      <c r="X136" s="15">
        <f>(Table1[[#This Row],[Revenue]]-Table1[[#This Row],[Market_Budget]])/Table1[[#This Row],[Market_Budget]]</f>
        <v>1.4787255979645417</v>
      </c>
      <c r="Y136" s="5">
        <f>Table1[[#This Row],[Revenue]]-Table1[[#This Row],[Market_Budget]]</f>
        <v>91071.9</v>
      </c>
    </row>
    <row r="137" spans="1:25" x14ac:dyDescent="0.35">
      <c r="A137">
        <v>127823</v>
      </c>
      <c r="B137" s="1">
        <v>44240</v>
      </c>
      <c r="C137" s="1" t="str">
        <f>TEXT(Table1[[#This Row],[Date]],"dddd")</f>
        <v>Saturday</v>
      </c>
      <c r="D137" s="1" t="str">
        <f>IF(WEEKDAY(Table1[[#This Row],[Date]],2)&gt;5,"Weekend","Weekday")</f>
        <v>Weekend</v>
      </c>
      <c r="E137" t="s">
        <v>39</v>
      </c>
      <c r="F137" t="str">
        <f>_xlfn.TEXTAFTER(Table1[[#This Row],[Campaign_Name]],"_")</f>
        <v>Wide</v>
      </c>
      <c r="G137" t="str">
        <f>IF(ISNUMBER(SEARCH("Tier1",Table1[[#This Row],[Campaign_Name]])),"Tier1",IF(ISNUMBER(SEARCH("Tier2",Table1[[#This Row],[Campaign_Name]])),"Tier2","Not Applicable"))</f>
        <v>Not Applicable</v>
      </c>
      <c r="H137" t="s">
        <v>47</v>
      </c>
      <c r="I137" s="3">
        <v>216562</v>
      </c>
      <c r="J137" s="7">
        <v>3452027</v>
      </c>
      <c r="K137" s="7">
        <v>12010</v>
      </c>
      <c r="L137" s="7">
        <v>378</v>
      </c>
      <c r="M137" s="7">
        <v>56</v>
      </c>
      <c r="N137" s="2">
        <v>123088</v>
      </c>
      <c r="O137" s="6">
        <f>Table1[[#This Row],[Clicks]]/Table1[[#This Row],[Impressions]]</f>
        <v>3.4791153139879846E-3</v>
      </c>
      <c r="P137" s="6">
        <f>Table1[[#This Row],[Leads]]/Table1[[#This Row],[Clicks]]</f>
        <v>3.1473771856786015E-2</v>
      </c>
      <c r="Q137" s="6" t="str">
        <f>IF(Table1[[#This Row],[Conversion1]]&gt;=2%,"High","Low")</f>
        <v>High</v>
      </c>
      <c r="R137" s="6">
        <f>IFERROR(Table1[[#This Row],[Orders]]/Table1[[#This Row],[Leads]],0)</f>
        <v>0.14814814814814814</v>
      </c>
      <c r="S137" s="6" t="str">
        <f>IF(Table1[[#This Row],[Conversion2]]&gt;=15%,"High","Low")</f>
        <v>Low</v>
      </c>
      <c r="T137" s="4">
        <f>IFERROR(Table1[[#This Row],[Revenue]]/Table1[[#This Row],[Orders]],0)</f>
        <v>2198</v>
      </c>
      <c r="U137" s="4">
        <f>Table1[[#This Row],[Market_Budget]]/Table1[[#This Row],[Clicks]]</f>
        <v>18.031806827643631</v>
      </c>
      <c r="V137" s="4">
        <f>IFERROR(Table1[[#This Row],[Market_Budget]]/Table1[[#This Row],[Leads]],0)</f>
        <v>572.9153439153439</v>
      </c>
      <c r="W137" s="4">
        <f>IFERROR(Table1[[#This Row],[Market_Budget]]/Table1[[#This Row],[Orders]],0)</f>
        <v>3867.1785714285716</v>
      </c>
      <c r="X137" s="15">
        <f>(Table1[[#This Row],[Revenue]]-Table1[[#This Row],[Market_Budget]])/Table1[[#This Row],[Market_Budget]]</f>
        <v>-0.43162697056732019</v>
      </c>
      <c r="Y137" s="5">
        <f>Table1[[#This Row],[Revenue]]-Table1[[#This Row],[Market_Budget]]</f>
        <v>-93474</v>
      </c>
    </row>
    <row r="138" spans="1:25" x14ac:dyDescent="0.35">
      <c r="A138">
        <v>10934</v>
      </c>
      <c r="B138" s="1">
        <v>44240</v>
      </c>
      <c r="C138" s="1" t="str">
        <f>TEXT(Table1[[#This Row],[Date]],"dddd")</f>
        <v>Saturday</v>
      </c>
      <c r="D138" s="1" t="str">
        <f>IF(WEEKDAY(Table1[[#This Row],[Date]],2)&gt;5,"Weekend","Weekday")</f>
        <v>Weekend</v>
      </c>
      <c r="E138" t="s">
        <v>40</v>
      </c>
      <c r="F138" t="str">
        <f>_xlfn.TEXTAFTER(Table1[[#This Row],[Campaign_Name]],"_")</f>
        <v>Blogger</v>
      </c>
      <c r="G138" t="str">
        <f>IF(ISNUMBER(SEARCH("Tier1",Table1[[#This Row],[Campaign_Name]])),"Tier1",IF(ISNUMBER(SEARCH("Tier2",Table1[[#This Row],[Campaign_Name]])),"Tier2","Not Applicable"))</f>
        <v>Not Applicable</v>
      </c>
      <c r="H138" t="s">
        <v>48</v>
      </c>
      <c r="I138" s="3">
        <v>205045</v>
      </c>
      <c r="J138" s="7">
        <v>2250900</v>
      </c>
      <c r="K138" s="7">
        <v>22509</v>
      </c>
      <c r="L138" s="7">
        <v>790</v>
      </c>
      <c r="M138" s="7">
        <v>158</v>
      </c>
      <c r="N138" s="2">
        <v>1296550</v>
      </c>
      <c r="O138" s="6">
        <f>Table1[[#This Row],[Clicks]]/Table1[[#This Row],[Impressions]]</f>
        <v>0.01</v>
      </c>
      <c r="P138" s="6">
        <f>Table1[[#This Row],[Leads]]/Table1[[#This Row],[Clicks]]</f>
        <v>3.509707228219823E-2</v>
      </c>
      <c r="Q138" s="6" t="str">
        <f>IF(Table1[[#This Row],[Conversion1]]&gt;=2%,"High","Low")</f>
        <v>High</v>
      </c>
      <c r="R138" s="6">
        <f>IFERROR(Table1[[#This Row],[Orders]]/Table1[[#This Row],[Leads]],0)</f>
        <v>0.2</v>
      </c>
      <c r="S138" s="6" t="str">
        <f>IF(Table1[[#This Row],[Conversion2]]&gt;=15%,"High","Low")</f>
        <v>High</v>
      </c>
      <c r="T138" s="4">
        <f>IFERROR(Table1[[#This Row],[Revenue]]/Table1[[#This Row],[Orders]],0)</f>
        <v>8206.0126582278481</v>
      </c>
      <c r="U138" s="4">
        <f>Table1[[#This Row],[Market_Budget]]/Table1[[#This Row],[Clicks]]</f>
        <v>9.1094673241814377</v>
      </c>
      <c r="V138" s="4">
        <f>IFERROR(Table1[[#This Row],[Market_Budget]]/Table1[[#This Row],[Leads]],0)</f>
        <v>259.55063291139243</v>
      </c>
      <c r="W138" s="4">
        <f>IFERROR(Table1[[#This Row],[Market_Budget]]/Table1[[#This Row],[Orders]],0)</f>
        <v>1297.753164556962</v>
      </c>
      <c r="X138" s="15">
        <f>(Table1[[#This Row],[Revenue]]-Table1[[#This Row],[Market_Budget]])/Table1[[#This Row],[Market_Budget]]</f>
        <v>5.3232461167060885</v>
      </c>
      <c r="Y138" s="5">
        <f>Table1[[#This Row],[Revenue]]-Table1[[#This Row],[Market_Budget]]</f>
        <v>1091505</v>
      </c>
    </row>
    <row r="139" spans="1:25" x14ac:dyDescent="0.35">
      <c r="A139">
        <v>9034945</v>
      </c>
      <c r="B139" s="1">
        <v>44240</v>
      </c>
      <c r="C139" s="1" t="str">
        <f>TEXT(Table1[[#This Row],[Date]],"dddd")</f>
        <v>Saturday</v>
      </c>
      <c r="D139" s="1" t="str">
        <f>IF(WEEKDAY(Table1[[#This Row],[Date]],2)&gt;5,"Weekend","Weekday")</f>
        <v>Weekend</v>
      </c>
      <c r="E139" t="s">
        <v>41</v>
      </c>
      <c r="F139" t="str">
        <f>_xlfn.TEXTAFTER(Table1[[#This Row],[Campaign_Name]],"_")</f>
        <v>Tier1</v>
      </c>
      <c r="G139" t="str">
        <f>IF(ISNUMBER(SEARCH("Tier1",Table1[[#This Row],[Campaign_Name]])),"Tier1",IF(ISNUMBER(SEARCH("Tier2",Table1[[#This Row],[Campaign_Name]])),"Tier2","Not Applicable"))</f>
        <v>Tier1</v>
      </c>
      <c r="H139" t="s">
        <v>61</v>
      </c>
      <c r="I139" s="3">
        <v>88844.800000000003</v>
      </c>
      <c r="J139" s="7">
        <v>2698200</v>
      </c>
      <c r="K139" s="7">
        <v>13491</v>
      </c>
      <c r="L139" s="7">
        <v>219</v>
      </c>
      <c r="M139" s="7">
        <v>26</v>
      </c>
      <c r="N139" s="2">
        <v>176384</v>
      </c>
      <c r="O139" s="6">
        <f>Table1[[#This Row],[Clicks]]/Table1[[#This Row],[Impressions]]</f>
        <v>5.0000000000000001E-3</v>
      </c>
      <c r="P139" s="6">
        <f>Table1[[#This Row],[Leads]]/Table1[[#This Row],[Clicks]]</f>
        <v>1.623304425172337E-2</v>
      </c>
      <c r="Q139" s="6" t="str">
        <f>IF(Table1[[#This Row],[Conversion1]]&gt;=2%,"High","Low")</f>
        <v>Low</v>
      </c>
      <c r="R139" s="6">
        <f>IFERROR(Table1[[#This Row],[Orders]]/Table1[[#This Row],[Leads]],0)</f>
        <v>0.11872146118721461</v>
      </c>
      <c r="S139" s="6" t="str">
        <f>IF(Table1[[#This Row],[Conversion2]]&gt;=15%,"High","Low")</f>
        <v>Low</v>
      </c>
      <c r="T139" s="4">
        <f>IFERROR(Table1[[#This Row],[Revenue]]/Table1[[#This Row],[Orders]],0)</f>
        <v>6784</v>
      </c>
      <c r="U139" s="4">
        <f>Table1[[#This Row],[Market_Budget]]/Table1[[#This Row],[Clicks]]</f>
        <v>6.5854866207101033</v>
      </c>
      <c r="V139" s="4">
        <f>IFERROR(Table1[[#This Row],[Market_Budget]]/Table1[[#This Row],[Leads]],0)</f>
        <v>405.68401826484018</v>
      </c>
      <c r="W139" s="4">
        <f>IFERROR(Table1[[#This Row],[Market_Budget]]/Table1[[#This Row],[Orders]],0)</f>
        <v>3417.1076923076926</v>
      </c>
      <c r="X139" s="15">
        <f>(Table1[[#This Row],[Revenue]]-Table1[[#This Row],[Market_Budget]])/Table1[[#This Row],[Market_Budget]]</f>
        <v>0.9853047111367238</v>
      </c>
      <c r="Y139" s="5">
        <f>Table1[[#This Row],[Revenue]]-Table1[[#This Row],[Market_Budget]]</f>
        <v>87539.199999999997</v>
      </c>
    </row>
    <row r="140" spans="1:25" x14ac:dyDescent="0.35">
      <c r="A140">
        <v>983498</v>
      </c>
      <c r="B140" s="1">
        <v>44240</v>
      </c>
      <c r="C140" s="1" t="str">
        <f>TEXT(Table1[[#This Row],[Date]],"dddd")</f>
        <v>Saturday</v>
      </c>
      <c r="D140" s="1" t="str">
        <f>IF(WEEKDAY(Table1[[#This Row],[Date]],2)&gt;5,"Weekend","Weekday")</f>
        <v>Weekend</v>
      </c>
      <c r="E140" t="s">
        <v>42</v>
      </c>
      <c r="F140" t="str">
        <f>_xlfn.TEXTAFTER(Table1[[#This Row],[Campaign_Name]],"_")</f>
        <v>Tier2</v>
      </c>
      <c r="G140" t="str">
        <f>IF(ISNUMBER(SEARCH("Tier1",Table1[[#This Row],[Campaign_Name]])),"Tier1",IF(ISNUMBER(SEARCH("Tier2",Table1[[#This Row],[Campaign_Name]])),"Tier2","Not Applicable"))</f>
        <v>Tier2</v>
      </c>
      <c r="H140" t="s">
        <v>61</v>
      </c>
      <c r="I140" s="3">
        <v>16656.8</v>
      </c>
      <c r="J140" s="7">
        <v>5100600</v>
      </c>
      <c r="K140" s="7">
        <v>25503</v>
      </c>
      <c r="L140" s="7">
        <v>510</v>
      </c>
      <c r="M140" s="7">
        <v>6</v>
      </c>
      <c r="N140" s="2">
        <v>10134</v>
      </c>
      <c r="O140" s="6">
        <f>Table1[[#This Row],[Clicks]]/Table1[[#This Row],[Impressions]]</f>
        <v>5.0000000000000001E-3</v>
      </c>
      <c r="P140" s="6">
        <f>Table1[[#This Row],[Leads]]/Table1[[#This Row],[Clicks]]</f>
        <v>1.9997647335607577E-2</v>
      </c>
      <c r="Q140" s="6" t="str">
        <f>IF(Table1[[#This Row],[Conversion1]]&gt;=2%,"High","Low")</f>
        <v>Low</v>
      </c>
      <c r="R140" s="6">
        <f>IFERROR(Table1[[#This Row],[Orders]]/Table1[[#This Row],[Leads]],0)</f>
        <v>1.1764705882352941E-2</v>
      </c>
      <c r="S140" s="6" t="str">
        <f>IF(Table1[[#This Row],[Conversion2]]&gt;=15%,"High","Low")</f>
        <v>Low</v>
      </c>
      <c r="T140" s="4">
        <f>IFERROR(Table1[[#This Row],[Revenue]]/Table1[[#This Row],[Orders]],0)</f>
        <v>1689</v>
      </c>
      <c r="U140" s="4">
        <f>Table1[[#This Row],[Market_Budget]]/Table1[[#This Row],[Clicks]]</f>
        <v>0.65313100419558479</v>
      </c>
      <c r="V140" s="4">
        <f>IFERROR(Table1[[#This Row],[Market_Budget]]/Table1[[#This Row],[Leads]],0)</f>
        <v>32.660392156862741</v>
      </c>
      <c r="W140" s="4">
        <f>IFERROR(Table1[[#This Row],[Market_Budget]]/Table1[[#This Row],[Orders]],0)</f>
        <v>2776.1333333333332</v>
      </c>
      <c r="X140" s="15">
        <f>(Table1[[#This Row],[Revenue]]-Table1[[#This Row],[Market_Budget]])/Table1[[#This Row],[Market_Budget]]</f>
        <v>-0.39159982709764179</v>
      </c>
      <c r="Y140" s="5">
        <f>Table1[[#This Row],[Revenue]]-Table1[[#This Row],[Market_Budget]]</f>
        <v>-6522.7999999999993</v>
      </c>
    </row>
    <row r="141" spans="1:25" x14ac:dyDescent="0.35">
      <c r="A141">
        <v>4387490</v>
      </c>
      <c r="B141" s="1">
        <v>44240</v>
      </c>
      <c r="C141" s="1" t="str">
        <f>TEXT(Table1[[#This Row],[Date]],"dddd")</f>
        <v>Saturday</v>
      </c>
      <c r="D141" s="1" t="str">
        <f>IF(WEEKDAY(Table1[[#This Row],[Date]],2)&gt;5,"Weekend","Weekday")</f>
        <v>Weekend</v>
      </c>
      <c r="E141" t="s">
        <v>43</v>
      </c>
      <c r="F141" t="str">
        <f>_xlfn.TEXTAFTER(Table1[[#This Row],[Campaign_Name]],"_")</f>
        <v>Retargeting</v>
      </c>
      <c r="G141" t="str">
        <f>IF(ISNUMBER(SEARCH("Tier1",Table1[[#This Row],[Campaign_Name]])),"Tier1",IF(ISNUMBER(SEARCH("Tier2",Table1[[#This Row],[Campaign_Name]])),"Tier2","Not Applicable"))</f>
        <v>Not Applicable</v>
      </c>
      <c r="H141" t="s">
        <v>61</v>
      </c>
      <c r="I141" s="3">
        <v>8367.08</v>
      </c>
      <c r="J141" s="7">
        <v>50333</v>
      </c>
      <c r="K141" s="7">
        <v>1510</v>
      </c>
      <c r="L141" s="7">
        <v>19</v>
      </c>
      <c r="M141" s="7">
        <v>4</v>
      </c>
      <c r="N141" s="2">
        <v>18828</v>
      </c>
      <c r="O141" s="6">
        <f>Table1[[#This Row],[Clicks]]/Table1[[#This Row],[Impressions]]</f>
        <v>3.0000198676812428E-2</v>
      </c>
      <c r="P141" s="6">
        <f>Table1[[#This Row],[Leads]]/Table1[[#This Row],[Clicks]]</f>
        <v>1.2582781456953643E-2</v>
      </c>
      <c r="Q141" s="6" t="str">
        <f>IF(Table1[[#This Row],[Conversion1]]&gt;=2%,"High","Low")</f>
        <v>Low</v>
      </c>
      <c r="R141" s="6">
        <f>IFERROR(Table1[[#This Row],[Orders]]/Table1[[#This Row],[Leads]],0)</f>
        <v>0.21052631578947367</v>
      </c>
      <c r="S141" s="6" t="str">
        <f>IF(Table1[[#This Row],[Conversion2]]&gt;=15%,"High","Low")</f>
        <v>High</v>
      </c>
      <c r="T141" s="4">
        <f>IFERROR(Table1[[#This Row],[Revenue]]/Table1[[#This Row],[Orders]],0)</f>
        <v>4707</v>
      </c>
      <c r="U141" s="4">
        <f>Table1[[#This Row],[Market_Budget]]/Table1[[#This Row],[Clicks]]</f>
        <v>5.5411125827814569</v>
      </c>
      <c r="V141" s="4">
        <f>IFERROR(Table1[[#This Row],[Market_Budget]]/Table1[[#This Row],[Leads]],0)</f>
        <v>440.37263157894739</v>
      </c>
      <c r="W141" s="4">
        <f>IFERROR(Table1[[#This Row],[Market_Budget]]/Table1[[#This Row],[Orders]],0)</f>
        <v>2091.77</v>
      </c>
      <c r="X141" s="15">
        <f>(Table1[[#This Row],[Revenue]]-Table1[[#This Row],[Market_Budget]])/Table1[[#This Row],[Market_Budget]]</f>
        <v>1.2502473981365063</v>
      </c>
      <c r="Y141" s="5">
        <f>Table1[[#This Row],[Revenue]]-Table1[[#This Row],[Market_Budget]]</f>
        <v>10460.92</v>
      </c>
    </row>
    <row r="142" spans="1:25" x14ac:dyDescent="0.35">
      <c r="A142">
        <v>544756</v>
      </c>
      <c r="B142" s="1">
        <v>44240</v>
      </c>
      <c r="C142" s="1" t="str">
        <f>TEXT(Table1[[#This Row],[Date]],"dddd")</f>
        <v>Saturday</v>
      </c>
      <c r="D142" s="1" t="str">
        <f>IF(WEEKDAY(Table1[[#This Row],[Date]],2)&gt;5,"Weekend","Weekday")</f>
        <v>Weekend</v>
      </c>
      <c r="E142" t="s">
        <v>44</v>
      </c>
      <c r="F142" t="str">
        <f>_xlfn.TEXTAFTER(Table1[[#This Row],[Campaign_Name]],"_")</f>
        <v>Lal</v>
      </c>
      <c r="G142" t="str">
        <f>IF(ISNUMBER(SEARCH("Tier1",Table1[[#This Row],[Campaign_Name]])),"Tier1",IF(ISNUMBER(SEARCH("Tier2",Table1[[#This Row],[Campaign_Name]])),"Tier2","Not Applicable"))</f>
        <v>Not Applicable</v>
      </c>
      <c r="H142" t="s">
        <v>61</v>
      </c>
      <c r="I142" s="3">
        <v>171332</v>
      </c>
      <c r="J142" s="7">
        <v>495013</v>
      </c>
      <c r="K142" s="7">
        <v>6006</v>
      </c>
      <c r="L142" s="7">
        <v>128</v>
      </c>
      <c r="M142" s="7">
        <v>19</v>
      </c>
      <c r="N142" s="2">
        <v>24035</v>
      </c>
      <c r="O142" s="6">
        <f>Table1[[#This Row],[Clicks]]/Table1[[#This Row],[Impressions]]</f>
        <v>1.2133014688503131E-2</v>
      </c>
      <c r="P142" s="6">
        <f>Table1[[#This Row],[Leads]]/Table1[[#This Row],[Clicks]]</f>
        <v>2.1312021312021312E-2</v>
      </c>
      <c r="Q142" s="6" t="str">
        <f>IF(Table1[[#This Row],[Conversion1]]&gt;=2%,"High","Low")</f>
        <v>High</v>
      </c>
      <c r="R142" s="6">
        <f>IFERROR(Table1[[#This Row],[Orders]]/Table1[[#This Row],[Leads]],0)</f>
        <v>0.1484375</v>
      </c>
      <c r="S142" s="6" t="str">
        <f>IF(Table1[[#This Row],[Conversion2]]&gt;=15%,"High","Low")</f>
        <v>Low</v>
      </c>
      <c r="T142" s="4">
        <f>IFERROR(Table1[[#This Row],[Revenue]]/Table1[[#This Row],[Orders]],0)</f>
        <v>1265</v>
      </c>
      <c r="U142" s="4">
        <f>Table1[[#This Row],[Market_Budget]]/Table1[[#This Row],[Clicks]]</f>
        <v>28.526806526806528</v>
      </c>
      <c r="V142" s="4">
        <f>IFERROR(Table1[[#This Row],[Market_Budget]]/Table1[[#This Row],[Leads]],0)</f>
        <v>1338.53125</v>
      </c>
      <c r="W142" s="4">
        <f>IFERROR(Table1[[#This Row],[Market_Budget]]/Table1[[#This Row],[Orders]],0)</f>
        <v>9017.4736842105267</v>
      </c>
      <c r="X142" s="15">
        <f>(Table1[[#This Row],[Revenue]]-Table1[[#This Row],[Market_Budget]])/Table1[[#This Row],[Market_Budget]]</f>
        <v>-0.8597168071346859</v>
      </c>
      <c r="Y142" s="5">
        <f>Table1[[#This Row],[Revenue]]-Table1[[#This Row],[Market_Budget]]</f>
        <v>-147297</v>
      </c>
    </row>
    <row r="143" spans="1:25" x14ac:dyDescent="0.35">
      <c r="A143">
        <v>374754</v>
      </c>
      <c r="B143" s="1">
        <v>44240</v>
      </c>
      <c r="C143" s="1" t="str">
        <f>TEXT(Table1[[#This Row],[Date]],"dddd")</f>
        <v>Saturday</v>
      </c>
      <c r="D143" s="1" t="str">
        <f>IF(WEEKDAY(Table1[[#This Row],[Date]],2)&gt;5,"Weekend","Weekday")</f>
        <v>Weekend</v>
      </c>
      <c r="E143" t="s">
        <v>45</v>
      </c>
      <c r="F143" t="str">
        <f>_xlfn.TEXTAFTER(Table1[[#This Row],[Campaign_Name]],"_")</f>
        <v>Blogger</v>
      </c>
      <c r="G143" t="str">
        <f>IF(ISNUMBER(SEARCH("Tier1",Table1[[#This Row],[Campaign_Name]])),"Tier1",IF(ISNUMBER(SEARCH("Tier2",Table1[[#This Row],[Campaign_Name]])),"Tier2","Not Applicable"))</f>
        <v>Not Applicable</v>
      </c>
      <c r="H143" t="s">
        <v>48</v>
      </c>
      <c r="I143" s="3">
        <v>32770.1</v>
      </c>
      <c r="J143" s="7">
        <v>1499200</v>
      </c>
      <c r="K143" s="7">
        <v>14992</v>
      </c>
      <c r="L143" s="7">
        <v>50</v>
      </c>
      <c r="M143" s="7">
        <v>8</v>
      </c>
      <c r="N143" s="2">
        <v>43976</v>
      </c>
      <c r="O143" s="6">
        <f>Table1[[#This Row],[Clicks]]/Table1[[#This Row],[Impressions]]</f>
        <v>0.01</v>
      </c>
      <c r="P143" s="6">
        <f>Table1[[#This Row],[Leads]]/Table1[[#This Row],[Clicks]]</f>
        <v>3.3351120597652083E-3</v>
      </c>
      <c r="Q143" s="6" t="str">
        <f>IF(Table1[[#This Row],[Conversion1]]&gt;=2%,"High","Low")</f>
        <v>Low</v>
      </c>
      <c r="R143" s="6">
        <f>IFERROR(Table1[[#This Row],[Orders]]/Table1[[#This Row],[Leads]],0)</f>
        <v>0.16</v>
      </c>
      <c r="S143" s="6" t="str">
        <f>IF(Table1[[#This Row],[Conversion2]]&gt;=15%,"High","Low")</f>
        <v>High</v>
      </c>
      <c r="T143" s="4">
        <f>IFERROR(Table1[[#This Row],[Revenue]]/Table1[[#This Row],[Orders]],0)</f>
        <v>5497</v>
      </c>
      <c r="U143" s="4">
        <f>Table1[[#This Row],[Market_Budget]]/Table1[[#This Row],[Clicks]]</f>
        <v>2.1858391141942368</v>
      </c>
      <c r="V143" s="4">
        <f>IFERROR(Table1[[#This Row],[Market_Budget]]/Table1[[#This Row],[Leads]],0)</f>
        <v>655.40199999999993</v>
      </c>
      <c r="W143" s="4">
        <f>IFERROR(Table1[[#This Row],[Market_Budget]]/Table1[[#This Row],[Orders]],0)</f>
        <v>4096.2624999999998</v>
      </c>
      <c r="X143" s="15">
        <f>(Table1[[#This Row],[Revenue]]-Table1[[#This Row],[Market_Budget]])/Table1[[#This Row],[Market_Budget]]</f>
        <v>0.34195501386935045</v>
      </c>
      <c r="Y143" s="5">
        <f>Table1[[#This Row],[Revenue]]-Table1[[#This Row],[Market_Budget]]</f>
        <v>11205.900000000001</v>
      </c>
    </row>
    <row r="144" spans="1:25" x14ac:dyDescent="0.35">
      <c r="A144">
        <v>39889</v>
      </c>
      <c r="B144" s="1">
        <v>44240</v>
      </c>
      <c r="C144" s="1" t="str">
        <f>TEXT(Table1[[#This Row],[Date]],"dddd")</f>
        <v>Saturday</v>
      </c>
      <c r="D144" s="1" t="str">
        <f>IF(WEEKDAY(Table1[[#This Row],[Date]],2)&gt;5,"Weekend","Weekday")</f>
        <v>Weekend</v>
      </c>
      <c r="E144" t="s">
        <v>46</v>
      </c>
      <c r="F144" t="str">
        <f>_xlfn.TEXTAFTER(Table1[[#This Row],[Campaign_Name]],"_")</f>
        <v>Partner</v>
      </c>
      <c r="G144" t="str">
        <f>IF(ISNUMBER(SEARCH("Tier1",Table1[[#This Row],[Campaign_Name]])),"Tier1",IF(ISNUMBER(SEARCH("Tier2",Table1[[#This Row],[Campaign_Name]])),"Tier2","Not Applicable"))</f>
        <v>Not Applicable</v>
      </c>
      <c r="H144" t="s">
        <v>62</v>
      </c>
      <c r="I144" s="3">
        <v>390105</v>
      </c>
      <c r="J144" s="7">
        <v>17890507</v>
      </c>
      <c r="K144" s="7">
        <v>20993</v>
      </c>
      <c r="L144" s="7">
        <v>734</v>
      </c>
      <c r="M144" s="7">
        <v>118</v>
      </c>
      <c r="N144" s="2">
        <v>353174</v>
      </c>
      <c r="O144" s="6">
        <f>Table1[[#This Row],[Clicks]]/Table1[[#This Row],[Impressions]]</f>
        <v>1.173415599680881E-3</v>
      </c>
      <c r="P144" s="6">
        <f>Table1[[#This Row],[Leads]]/Table1[[#This Row],[Clicks]]</f>
        <v>3.4964035630924595E-2</v>
      </c>
      <c r="Q144" s="6" t="str">
        <f>IF(Table1[[#This Row],[Conversion1]]&gt;=2%,"High","Low")</f>
        <v>High</v>
      </c>
      <c r="R144" s="6">
        <f>IFERROR(Table1[[#This Row],[Orders]]/Table1[[#This Row],[Leads]],0)</f>
        <v>0.16076294277929154</v>
      </c>
      <c r="S144" s="6" t="str">
        <f>IF(Table1[[#This Row],[Conversion2]]&gt;=15%,"High","Low")</f>
        <v>High</v>
      </c>
      <c r="T144" s="4">
        <f>IFERROR(Table1[[#This Row],[Revenue]]/Table1[[#This Row],[Orders]],0)</f>
        <v>2993</v>
      </c>
      <c r="U144" s="4">
        <f>Table1[[#This Row],[Market_Budget]]/Table1[[#This Row],[Clicks]]</f>
        <v>18.58262277902158</v>
      </c>
      <c r="V144" s="4">
        <f>IFERROR(Table1[[#This Row],[Market_Budget]]/Table1[[#This Row],[Leads]],0)</f>
        <v>531.47820163487734</v>
      </c>
      <c r="W144" s="4">
        <f>IFERROR(Table1[[#This Row],[Market_Budget]]/Table1[[#This Row],[Orders]],0)</f>
        <v>3305.9745762711864</v>
      </c>
      <c r="X144" s="15">
        <f>(Table1[[#This Row],[Revenue]]-Table1[[#This Row],[Market_Budget]])/Table1[[#This Row],[Market_Budget]]</f>
        <v>-9.4669383883826147E-2</v>
      </c>
      <c r="Y144" s="5">
        <f>Table1[[#This Row],[Revenue]]-Table1[[#This Row],[Market_Budget]]</f>
        <v>-36931</v>
      </c>
    </row>
    <row r="145" spans="1:25" x14ac:dyDescent="0.35">
      <c r="A145">
        <v>349043</v>
      </c>
      <c r="B145" s="1">
        <v>44241</v>
      </c>
      <c r="C145" s="1" t="str">
        <f>TEXT(Table1[[#This Row],[Date]],"dddd")</f>
        <v>Sunday</v>
      </c>
      <c r="D145" s="1" t="str">
        <f>IF(WEEKDAY(Table1[[#This Row],[Date]],2)&gt;5,"Weekend","Weekday")</f>
        <v>Weekend</v>
      </c>
      <c r="E145" t="s">
        <v>36</v>
      </c>
      <c r="F145" t="str">
        <f>_xlfn.TEXTAFTER(Table1[[#This Row],[Campaign_Name]],"_")</f>
        <v>Tier1</v>
      </c>
      <c r="G145" t="str">
        <f>IF(ISNUMBER(SEARCH("Tier1",Table1[[#This Row],[Campaign_Name]])),"Tier1",IF(ISNUMBER(SEARCH("Tier2",Table1[[#This Row],[Campaign_Name]])),"Tier2","Not Applicable"))</f>
        <v>Tier1</v>
      </c>
      <c r="H145" t="s">
        <v>61</v>
      </c>
      <c r="I145" s="3">
        <v>60244.9</v>
      </c>
      <c r="J145" s="7">
        <v>2452315</v>
      </c>
      <c r="K145" s="7">
        <v>14406</v>
      </c>
      <c r="L145" s="7">
        <v>110</v>
      </c>
      <c r="M145" s="7">
        <v>14</v>
      </c>
      <c r="N145" s="2">
        <v>63560</v>
      </c>
      <c r="O145" s="6">
        <f>Table1[[#This Row],[Clicks]]/Table1[[#This Row],[Impressions]]</f>
        <v>5.8744492448971689E-3</v>
      </c>
      <c r="P145" s="6">
        <f>Table1[[#This Row],[Leads]]/Table1[[#This Row],[Clicks]]</f>
        <v>7.6357073441621548E-3</v>
      </c>
      <c r="Q145" s="6" t="str">
        <f>IF(Table1[[#This Row],[Conversion1]]&gt;=2%,"High","Low")</f>
        <v>Low</v>
      </c>
      <c r="R145" s="6">
        <f>IFERROR(Table1[[#This Row],[Orders]]/Table1[[#This Row],[Leads]],0)</f>
        <v>0.12727272727272726</v>
      </c>
      <c r="S145" s="6" t="str">
        <f>IF(Table1[[#This Row],[Conversion2]]&gt;=15%,"High","Low")</f>
        <v>Low</v>
      </c>
      <c r="T145" s="4">
        <f>IFERROR(Table1[[#This Row],[Revenue]]/Table1[[#This Row],[Orders]],0)</f>
        <v>4540</v>
      </c>
      <c r="U145" s="4">
        <f>Table1[[#This Row],[Market_Budget]]/Table1[[#This Row],[Clicks]]</f>
        <v>4.1819311398028605</v>
      </c>
      <c r="V145" s="4">
        <f>IFERROR(Table1[[#This Row],[Market_Budget]]/Table1[[#This Row],[Leads]],0)</f>
        <v>547.68090909090915</v>
      </c>
      <c r="W145" s="4">
        <f>IFERROR(Table1[[#This Row],[Market_Budget]]/Table1[[#This Row],[Orders]],0)</f>
        <v>4303.2071428571426</v>
      </c>
      <c r="X145" s="15">
        <f>(Table1[[#This Row],[Revenue]]-Table1[[#This Row],[Market_Budget]])/Table1[[#This Row],[Market_Budget]]</f>
        <v>5.5027064531603477E-2</v>
      </c>
      <c r="Y145" s="5">
        <f>Table1[[#This Row],[Revenue]]-Table1[[#This Row],[Market_Budget]]</f>
        <v>3315.0999999999985</v>
      </c>
    </row>
    <row r="146" spans="1:25" x14ac:dyDescent="0.35">
      <c r="A146">
        <v>348934</v>
      </c>
      <c r="B146" s="1">
        <v>44241</v>
      </c>
      <c r="C146" s="1" t="str">
        <f>TEXT(Table1[[#This Row],[Date]],"dddd")</f>
        <v>Sunday</v>
      </c>
      <c r="D146" s="1" t="str">
        <f>IF(WEEKDAY(Table1[[#This Row],[Date]],2)&gt;5,"Weekend","Weekday")</f>
        <v>Weekend</v>
      </c>
      <c r="E146" t="s">
        <v>37</v>
      </c>
      <c r="F146" t="str">
        <f>_xlfn.TEXTAFTER(Table1[[#This Row],[Campaign_Name]],"_")</f>
        <v>Tier2</v>
      </c>
      <c r="G146" t="str">
        <f>IF(ISNUMBER(SEARCH("Tier1",Table1[[#This Row],[Campaign_Name]])),"Tier1",IF(ISNUMBER(SEARCH("Tier2",Table1[[#This Row],[Campaign_Name]])),"Tier2","Not Applicable"))</f>
        <v>Tier2</v>
      </c>
      <c r="H146" t="s">
        <v>61</v>
      </c>
      <c r="I146" s="3">
        <v>197948</v>
      </c>
      <c r="J146" s="7">
        <v>7936534</v>
      </c>
      <c r="K146" s="7">
        <v>19797</v>
      </c>
      <c r="L146" s="7">
        <v>396</v>
      </c>
      <c r="M146" s="7">
        <v>30</v>
      </c>
      <c r="N146" s="2">
        <v>149430</v>
      </c>
      <c r="O146" s="6">
        <f>Table1[[#This Row],[Clicks]]/Table1[[#This Row],[Impressions]]</f>
        <v>2.4944138083450532E-3</v>
      </c>
      <c r="P146" s="6">
        <f>Table1[[#This Row],[Leads]]/Table1[[#This Row],[Clicks]]</f>
        <v>2.0003030762236702E-2</v>
      </c>
      <c r="Q146" s="6" t="str">
        <f>IF(Table1[[#This Row],[Conversion1]]&gt;=2%,"High","Low")</f>
        <v>High</v>
      </c>
      <c r="R146" s="6">
        <f>IFERROR(Table1[[#This Row],[Orders]]/Table1[[#This Row],[Leads]],0)</f>
        <v>7.575757575757576E-2</v>
      </c>
      <c r="S146" s="6" t="str">
        <f>IF(Table1[[#This Row],[Conversion2]]&gt;=15%,"High","Low")</f>
        <v>Low</v>
      </c>
      <c r="T146" s="4">
        <f>IFERROR(Table1[[#This Row],[Revenue]]/Table1[[#This Row],[Orders]],0)</f>
        <v>4981</v>
      </c>
      <c r="U146" s="4">
        <f>Table1[[#This Row],[Market_Budget]]/Table1[[#This Row],[Clicks]]</f>
        <v>9.9988887205132091</v>
      </c>
      <c r="V146" s="4">
        <f>IFERROR(Table1[[#This Row],[Market_Budget]]/Table1[[#This Row],[Leads]],0)</f>
        <v>499.86868686868689</v>
      </c>
      <c r="W146" s="4">
        <f>IFERROR(Table1[[#This Row],[Market_Budget]]/Table1[[#This Row],[Orders]],0)</f>
        <v>6598.2666666666664</v>
      </c>
      <c r="X146" s="15">
        <f>(Table1[[#This Row],[Revenue]]-Table1[[#This Row],[Market_Budget]])/Table1[[#This Row],[Market_Budget]]</f>
        <v>-0.24510477499141189</v>
      </c>
      <c r="Y146" s="5">
        <f>Table1[[#This Row],[Revenue]]-Table1[[#This Row],[Market_Budget]]</f>
        <v>-48518</v>
      </c>
    </row>
    <row r="147" spans="1:25" x14ac:dyDescent="0.35">
      <c r="A147">
        <v>89459845</v>
      </c>
      <c r="B147" s="1">
        <v>44241</v>
      </c>
      <c r="C147" s="1" t="str">
        <f>TEXT(Table1[[#This Row],[Date]],"dddd")</f>
        <v>Sunday</v>
      </c>
      <c r="D147" s="1" t="str">
        <f>IF(WEEKDAY(Table1[[#This Row],[Date]],2)&gt;5,"Weekend","Weekday")</f>
        <v>Weekend</v>
      </c>
      <c r="E147" t="s">
        <v>38</v>
      </c>
      <c r="F147" t="str">
        <f>_xlfn.TEXTAFTER(Table1[[#This Row],[Campaign_Name]],"_")</f>
        <v>Hot</v>
      </c>
      <c r="G147" t="str">
        <f>IF(ISNUMBER(SEARCH("Tier1",Table1[[#This Row],[Campaign_Name]])),"Tier1",IF(ISNUMBER(SEARCH("Tier2",Table1[[#This Row],[Campaign_Name]])),"Tier2","Not Applicable"))</f>
        <v>Not Applicable</v>
      </c>
      <c r="H147" t="s">
        <v>47</v>
      </c>
      <c r="I147" s="3">
        <v>56440.3</v>
      </c>
      <c r="J147" s="7">
        <v>263754</v>
      </c>
      <c r="K147" s="7">
        <v>5409</v>
      </c>
      <c r="L147" s="7">
        <v>90</v>
      </c>
      <c r="M147" s="7">
        <v>11</v>
      </c>
      <c r="N147" s="2">
        <v>84183</v>
      </c>
      <c r="O147" s="6">
        <f>Table1[[#This Row],[Clicks]]/Table1[[#This Row],[Impressions]]</f>
        <v>2.0507745854091312E-2</v>
      </c>
      <c r="P147" s="6">
        <f>Table1[[#This Row],[Leads]]/Table1[[#This Row],[Clicks]]</f>
        <v>1.6638935108153077E-2</v>
      </c>
      <c r="Q147" s="6" t="str">
        <f>IF(Table1[[#This Row],[Conversion1]]&gt;=2%,"High","Low")</f>
        <v>Low</v>
      </c>
      <c r="R147" s="6">
        <f>IFERROR(Table1[[#This Row],[Orders]]/Table1[[#This Row],[Leads]],0)</f>
        <v>0.12222222222222222</v>
      </c>
      <c r="S147" s="6" t="str">
        <f>IF(Table1[[#This Row],[Conversion2]]&gt;=15%,"High","Low")</f>
        <v>Low</v>
      </c>
      <c r="T147" s="4">
        <f>IFERROR(Table1[[#This Row],[Revenue]]/Table1[[#This Row],[Orders]],0)</f>
        <v>7653</v>
      </c>
      <c r="U147" s="4">
        <f>Table1[[#This Row],[Market_Budget]]/Table1[[#This Row],[Clicks]]</f>
        <v>10.43451654649658</v>
      </c>
      <c r="V147" s="4">
        <f>IFERROR(Table1[[#This Row],[Market_Budget]]/Table1[[#This Row],[Leads]],0)</f>
        <v>627.11444444444453</v>
      </c>
      <c r="W147" s="4">
        <f>IFERROR(Table1[[#This Row],[Market_Budget]]/Table1[[#This Row],[Orders]],0)</f>
        <v>5130.9363636363641</v>
      </c>
      <c r="X147" s="15">
        <f>(Table1[[#This Row],[Revenue]]-Table1[[#This Row],[Market_Budget]])/Table1[[#This Row],[Market_Budget]]</f>
        <v>0.49154061902576696</v>
      </c>
      <c r="Y147" s="5">
        <f>Table1[[#This Row],[Revenue]]-Table1[[#This Row],[Market_Budget]]</f>
        <v>27742.699999999997</v>
      </c>
    </row>
    <row r="148" spans="1:25" x14ac:dyDescent="0.35">
      <c r="A148">
        <v>127823</v>
      </c>
      <c r="B148" s="1">
        <v>44241</v>
      </c>
      <c r="C148" s="1" t="str">
        <f>TEXT(Table1[[#This Row],[Date]],"dddd")</f>
        <v>Sunday</v>
      </c>
      <c r="D148" s="1" t="str">
        <f>IF(WEEKDAY(Table1[[#This Row],[Date]],2)&gt;5,"Weekend","Weekday")</f>
        <v>Weekend</v>
      </c>
      <c r="E148" t="s">
        <v>39</v>
      </c>
      <c r="F148" t="str">
        <f>_xlfn.TEXTAFTER(Table1[[#This Row],[Campaign_Name]],"_")</f>
        <v>Wide</v>
      </c>
      <c r="G148" t="str">
        <f>IF(ISNUMBER(SEARCH("Tier1",Table1[[#This Row],[Campaign_Name]])),"Tier1",IF(ISNUMBER(SEARCH("Tier2",Table1[[#This Row],[Campaign_Name]])),"Tier2","Not Applicable"))</f>
        <v>Not Applicable</v>
      </c>
      <c r="H148" t="s">
        <v>47</v>
      </c>
      <c r="I148" s="3">
        <v>196998</v>
      </c>
      <c r="J148" s="7">
        <v>3111389</v>
      </c>
      <c r="K148" s="7">
        <v>14390</v>
      </c>
      <c r="L148" s="7">
        <v>498</v>
      </c>
      <c r="M148" s="7">
        <v>48</v>
      </c>
      <c r="N148" s="2">
        <v>101280</v>
      </c>
      <c r="O148" s="6">
        <f>Table1[[#This Row],[Clicks]]/Table1[[#This Row],[Impressions]]</f>
        <v>4.6249440362487624E-3</v>
      </c>
      <c r="P148" s="6">
        <f>Table1[[#This Row],[Leads]]/Table1[[#This Row],[Clicks]]</f>
        <v>3.4607366226546213E-2</v>
      </c>
      <c r="Q148" s="6" t="str">
        <f>IF(Table1[[#This Row],[Conversion1]]&gt;=2%,"High","Low")</f>
        <v>High</v>
      </c>
      <c r="R148" s="6">
        <f>IFERROR(Table1[[#This Row],[Orders]]/Table1[[#This Row],[Leads]],0)</f>
        <v>9.6385542168674704E-2</v>
      </c>
      <c r="S148" s="6" t="str">
        <f>IF(Table1[[#This Row],[Conversion2]]&gt;=15%,"High","Low")</f>
        <v>Low</v>
      </c>
      <c r="T148" s="4">
        <f>IFERROR(Table1[[#This Row],[Revenue]]/Table1[[#This Row],[Orders]],0)</f>
        <v>2110</v>
      </c>
      <c r="U148" s="4">
        <f>Table1[[#This Row],[Market_Budget]]/Table1[[#This Row],[Clicks]]</f>
        <v>13.689923558026408</v>
      </c>
      <c r="V148" s="4">
        <f>IFERROR(Table1[[#This Row],[Market_Budget]]/Table1[[#This Row],[Leads]],0)</f>
        <v>395.57831325301203</v>
      </c>
      <c r="W148" s="4">
        <f>IFERROR(Table1[[#This Row],[Market_Budget]]/Table1[[#This Row],[Orders]],0)</f>
        <v>4104.125</v>
      </c>
      <c r="X148" s="15">
        <f>(Table1[[#This Row],[Revenue]]-Table1[[#This Row],[Market_Budget]])/Table1[[#This Row],[Market_Budget]]</f>
        <v>-0.48588310541223767</v>
      </c>
      <c r="Y148" s="5">
        <f>Table1[[#This Row],[Revenue]]-Table1[[#This Row],[Market_Budget]]</f>
        <v>-95718</v>
      </c>
    </row>
    <row r="149" spans="1:25" x14ac:dyDescent="0.35">
      <c r="A149">
        <v>10934</v>
      </c>
      <c r="B149" s="1">
        <v>44241</v>
      </c>
      <c r="C149" s="1" t="str">
        <f>TEXT(Table1[[#This Row],[Date]],"dddd")</f>
        <v>Sunday</v>
      </c>
      <c r="D149" s="1" t="str">
        <f>IF(WEEKDAY(Table1[[#This Row],[Date]],2)&gt;5,"Weekend","Weekday")</f>
        <v>Weekend</v>
      </c>
      <c r="E149" t="s">
        <v>40</v>
      </c>
      <c r="F149" t="str">
        <f>_xlfn.TEXTAFTER(Table1[[#This Row],[Campaign_Name]],"_")</f>
        <v>Blogger</v>
      </c>
      <c r="G149" t="str">
        <f>IF(ISNUMBER(SEARCH("Tier1",Table1[[#This Row],[Campaign_Name]])),"Tier1",IF(ISNUMBER(SEARCH("Tier2",Table1[[#This Row],[Campaign_Name]])),"Tier2","Not Applicable"))</f>
        <v>Not Applicable</v>
      </c>
      <c r="H149" t="s">
        <v>48</v>
      </c>
      <c r="I149" s="3">
        <v>231751</v>
      </c>
      <c r="J149" s="7">
        <v>2511956</v>
      </c>
      <c r="K149" s="7">
        <v>26993</v>
      </c>
      <c r="L149" s="7">
        <v>540</v>
      </c>
      <c r="M149" s="7">
        <v>85</v>
      </c>
      <c r="N149" s="2">
        <v>733550</v>
      </c>
      <c r="O149" s="6">
        <f>Table1[[#This Row],[Clicks]]/Table1[[#This Row],[Impressions]]</f>
        <v>1.0745809241881626E-2</v>
      </c>
      <c r="P149" s="6">
        <f>Table1[[#This Row],[Leads]]/Table1[[#This Row],[Clicks]]</f>
        <v>2.0005186529841072E-2</v>
      </c>
      <c r="Q149" s="6" t="str">
        <f>IF(Table1[[#This Row],[Conversion1]]&gt;=2%,"High","Low")</f>
        <v>High</v>
      </c>
      <c r="R149" s="6">
        <f>IFERROR(Table1[[#This Row],[Orders]]/Table1[[#This Row],[Leads]],0)</f>
        <v>0.15740740740740741</v>
      </c>
      <c r="S149" s="6" t="str">
        <f>IF(Table1[[#This Row],[Conversion2]]&gt;=15%,"High","Low")</f>
        <v>High</v>
      </c>
      <c r="T149" s="4">
        <f>IFERROR(Table1[[#This Row],[Revenue]]/Table1[[#This Row],[Orders]],0)</f>
        <v>8630</v>
      </c>
      <c r="U149" s="4">
        <f>Table1[[#This Row],[Market_Budget]]/Table1[[#This Row],[Clicks]]</f>
        <v>8.5855962656985145</v>
      </c>
      <c r="V149" s="4">
        <f>IFERROR(Table1[[#This Row],[Market_Budget]]/Table1[[#This Row],[Leads]],0)</f>
        <v>429.16851851851851</v>
      </c>
      <c r="W149" s="4">
        <f>IFERROR(Table1[[#This Row],[Market_Budget]]/Table1[[#This Row],[Orders]],0)</f>
        <v>2726.4823529411765</v>
      </c>
      <c r="X149" s="15">
        <f>(Table1[[#This Row],[Revenue]]-Table1[[#This Row],[Market_Budget]])/Table1[[#This Row],[Market_Budget]]</f>
        <v>2.1652506353802141</v>
      </c>
      <c r="Y149" s="5">
        <f>Table1[[#This Row],[Revenue]]-Table1[[#This Row],[Market_Budget]]</f>
        <v>501799</v>
      </c>
    </row>
    <row r="150" spans="1:25" x14ac:dyDescent="0.35">
      <c r="A150">
        <v>9034945</v>
      </c>
      <c r="B150" s="1">
        <v>44241</v>
      </c>
      <c r="C150" s="1" t="str">
        <f>TEXT(Table1[[#This Row],[Date]],"dddd")</f>
        <v>Sunday</v>
      </c>
      <c r="D150" s="1" t="str">
        <f>IF(WEEKDAY(Table1[[#This Row],[Date]],2)&gt;5,"Weekend","Weekday")</f>
        <v>Weekend</v>
      </c>
      <c r="E150" t="s">
        <v>41</v>
      </c>
      <c r="F150" t="str">
        <f>_xlfn.TEXTAFTER(Table1[[#This Row],[Campaign_Name]],"_")</f>
        <v>Tier1</v>
      </c>
      <c r="G150" t="str">
        <f>IF(ISNUMBER(SEARCH("Tier1",Table1[[#This Row],[Campaign_Name]])),"Tier1",IF(ISNUMBER(SEARCH("Tier2",Table1[[#This Row],[Campaign_Name]])),"Tier2","Not Applicable"))</f>
        <v>Tier1</v>
      </c>
      <c r="H150" t="s">
        <v>61</v>
      </c>
      <c r="I150" s="3">
        <v>312844</v>
      </c>
      <c r="J150" s="7">
        <v>3239400</v>
      </c>
      <c r="K150" s="7">
        <v>16197</v>
      </c>
      <c r="L150" s="7">
        <v>604</v>
      </c>
      <c r="M150" s="7">
        <v>72</v>
      </c>
      <c r="N150" s="2">
        <v>377352</v>
      </c>
      <c r="O150" s="6">
        <f>Table1[[#This Row],[Clicks]]/Table1[[#This Row],[Impressions]]</f>
        <v>5.0000000000000001E-3</v>
      </c>
      <c r="P150" s="6">
        <f>Table1[[#This Row],[Leads]]/Table1[[#This Row],[Clicks]]</f>
        <v>3.7290856331419396E-2</v>
      </c>
      <c r="Q150" s="6" t="str">
        <f>IF(Table1[[#This Row],[Conversion1]]&gt;=2%,"High","Low")</f>
        <v>High</v>
      </c>
      <c r="R150" s="6">
        <f>IFERROR(Table1[[#This Row],[Orders]]/Table1[[#This Row],[Leads]],0)</f>
        <v>0.11920529801324503</v>
      </c>
      <c r="S150" s="6" t="str">
        <f>IF(Table1[[#This Row],[Conversion2]]&gt;=15%,"High","Low")</f>
        <v>Low</v>
      </c>
      <c r="T150" s="4">
        <f>IFERROR(Table1[[#This Row],[Revenue]]/Table1[[#This Row],[Orders]],0)</f>
        <v>5241</v>
      </c>
      <c r="U150" s="4">
        <f>Table1[[#This Row],[Market_Budget]]/Table1[[#This Row],[Clicks]]</f>
        <v>19.314934864481078</v>
      </c>
      <c r="V150" s="4">
        <f>IFERROR(Table1[[#This Row],[Market_Budget]]/Table1[[#This Row],[Leads]],0)</f>
        <v>517.95364238410593</v>
      </c>
      <c r="W150" s="4">
        <f>IFERROR(Table1[[#This Row],[Market_Budget]]/Table1[[#This Row],[Orders]],0)</f>
        <v>4345.0555555555557</v>
      </c>
      <c r="X150" s="15">
        <f>(Table1[[#This Row],[Revenue]]-Table1[[#This Row],[Market_Budget]])/Table1[[#This Row],[Market_Budget]]</f>
        <v>0.20619861656288757</v>
      </c>
      <c r="Y150" s="5">
        <f>Table1[[#This Row],[Revenue]]-Table1[[#This Row],[Market_Budget]]</f>
        <v>64508</v>
      </c>
    </row>
    <row r="151" spans="1:25" x14ac:dyDescent="0.35">
      <c r="A151">
        <v>983498</v>
      </c>
      <c r="B151" s="1">
        <v>44241</v>
      </c>
      <c r="C151" s="1" t="str">
        <f>TEXT(Table1[[#This Row],[Date]],"dddd")</f>
        <v>Sunday</v>
      </c>
      <c r="D151" s="1" t="str">
        <f>IF(WEEKDAY(Table1[[#This Row],[Date]],2)&gt;5,"Weekend","Weekday")</f>
        <v>Weekend</v>
      </c>
      <c r="E151" t="s">
        <v>42</v>
      </c>
      <c r="F151" t="str">
        <f>_xlfn.TEXTAFTER(Table1[[#This Row],[Campaign_Name]],"_")</f>
        <v>Tier2</v>
      </c>
      <c r="G151" t="str">
        <f>IF(ISNUMBER(SEARCH("Tier1",Table1[[#This Row],[Campaign_Name]])),"Tier1",IF(ISNUMBER(SEARCH("Tier2",Table1[[#This Row],[Campaign_Name]])),"Tier2","Not Applicable"))</f>
        <v>Tier2</v>
      </c>
      <c r="H151" t="s">
        <v>61</v>
      </c>
      <c r="I151" s="3">
        <v>218228</v>
      </c>
      <c r="J151" s="7">
        <v>5130500</v>
      </c>
      <c r="K151" s="7">
        <v>30602</v>
      </c>
      <c r="L151" s="7">
        <v>935</v>
      </c>
      <c r="M151" s="7">
        <v>54</v>
      </c>
      <c r="N151" s="2">
        <v>119718</v>
      </c>
      <c r="O151" s="6">
        <f>Table1[[#This Row],[Clicks]]/Table1[[#This Row],[Impressions]]</f>
        <v>5.9647207874476173E-3</v>
      </c>
      <c r="P151" s="6">
        <f>Table1[[#This Row],[Leads]]/Table1[[#This Row],[Clicks]]</f>
        <v>3.0553558590941769E-2</v>
      </c>
      <c r="Q151" s="6" t="str">
        <f>IF(Table1[[#This Row],[Conversion1]]&gt;=2%,"High","Low")</f>
        <v>High</v>
      </c>
      <c r="R151" s="6">
        <f>IFERROR(Table1[[#This Row],[Orders]]/Table1[[#This Row],[Leads]],0)</f>
        <v>5.7754010695187166E-2</v>
      </c>
      <c r="S151" s="6" t="str">
        <f>IF(Table1[[#This Row],[Conversion2]]&gt;=15%,"High","Low")</f>
        <v>Low</v>
      </c>
      <c r="T151" s="4">
        <f>IFERROR(Table1[[#This Row],[Revenue]]/Table1[[#This Row],[Orders]],0)</f>
        <v>2217</v>
      </c>
      <c r="U151" s="4">
        <f>Table1[[#This Row],[Market_Budget]]/Table1[[#This Row],[Clicks]]</f>
        <v>7.1311678975230377</v>
      </c>
      <c r="V151" s="4">
        <f>IFERROR(Table1[[#This Row],[Market_Budget]]/Table1[[#This Row],[Leads]],0)</f>
        <v>233.39893048128343</v>
      </c>
      <c r="W151" s="4">
        <f>IFERROR(Table1[[#This Row],[Market_Budget]]/Table1[[#This Row],[Orders]],0)</f>
        <v>4041.2592592592591</v>
      </c>
      <c r="X151" s="15">
        <f>(Table1[[#This Row],[Revenue]]-Table1[[#This Row],[Market_Budget]])/Table1[[#This Row],[Market_Budget]]</f>
        <v>-0.45140861850908226</v>
      </c>
      <c r="Y151" s="5">
        <f>Table1[[#This Row],[Revenue]]-Table1[[#This Row],[Market_Budget]]</f>
        <v>-98510</v>
      </c>
    </row>
    <row r="152" spans="1:25" x14ac:dyDescent="0.35">
      <c r="A152">
        <v>4387490</v>
      </c>
      <c r="B152" s="1">
        <v>44241</v>
      </c>
      <c r="C152" s="1" t="str">
        <f>TEXT(Table1[[#This Row],[Date]],"dddd")</f>
        <v>Sunday</v>
      </c>
      <c r="D152" s="1" t="str">
        <f>IF(WEEKDAY(Table1[[#This Row],[Date]],2)&gt;5,"Weekend","Weekday")</f>
        <v>Weekend</v>
      </c>
      <c r="E152" t="s">
        <v>43</v>
      </c>
      <c r="F152" t="str">
        <f>_xlfn.TEXTAFTER(Table1[[#This Row],[Campaign_Name]],"_")</f>
        <v>Retargeting</v>
      </c>
      <c r="G152" t="str">
        <f>IF(ISNUMBER(SEARCH("Tier1",Table1[[#This Row],[Campaign_Name]])),"Tier1",IF(ISNUMBER(SEARCH("Tier2",Table1[[#This Row],[Campaign_Name]])),"Tier2","Not Applicable"))</f>
        <v>Not Applicable</v>
      </c>
      <c r="H152" t="s">
        <v>61</v>
      </c>
      <c r="I152" s="3">
        <v>4764.34</v>
      </c>
      <c r="J152" s="7">
        <v>55495</v>
      </c>
      <c r="K152" s="7">
        <v>1790</v>
      </c>
      <c r="L152" s="7">
        <v>10</v>
      </c>
      <c r="M152" s="7">
        <v>2</v>
      </c>
      <c r="N152" s="2">
        <v>10902</v>
      </c>
      <c r="O152" s="6">
        <f>Table1[[#This Row],[Clicks]]/Table1[[#This Row],[Impressions]]</f>
        <v>3.2255158122353363E-2</v>
      </c>
      <c r="P152" s="6">
        <f>Table1[[#This Row],[Leads]]/Table1[[#This Row],[Clicks]]</f>
        <v>5.5865921787709499E-3</v>
      </c>
      <c r="Q152" s="6" t="str">
        <f>IF(Table1[[#This Row],[Conversion1]]&gt;=2%,"High","Low")</f>
        <v>Low</v>
      </c>
      <c r="R152" s="6">
        <f>IFERROR(Table1[[#This Row],[Orders]]/Table1[[#This Row],[Leads]],0)</f>
        <v>0.2</v>
      </c>
      <c r="S152" s="6" t="str">
        <f>IF(Table1[[#This Row],[Conversion2]]&gt;=15%,"High","Low")</f>
        <v>High</v>
      </c>
      <c r="T152" s="4">
        <f>IFERROR(Table1[[#This Row],[Revenue]]/Table1[[#This Row],[Orders]],0)</f>
        <v>5451</v>
      </c>
      <c r="U152" s="4">
        <f>Table1[[#This Row],[Market_Budget]]/Table1[[#This Row],[Clicks]]</f>
        <v>2.6616424581005589</v>
      </c>
      <c r="V152" s="4">
        <f>IFERROR(Table1[[#This Row],[Market_Budget]]/Table1[[#This Row],[Leads]],0)</f>
        <v>476.43400000000003</v>
      </c>
      <c r="W152" s="4">
        <f>IFERROR(Table1[[#This Row],[Market_Budget]]/Table1[[#This Row],[Orders]],0)</f>
        <v>2382.17</v>
      </c>
      <c r="X152" s="15">
        <f>(Table1[[#This Row],[Revenue]]-Table1[[#This Row],[Market_Budget]])/Table1[[#This Row],[Market_Budget]]</f>
        <v>1.2882497890578757</v>
      </c>
      <c r="Y152" s="5">
        <f>Table1[[#This Row],[Revenue]]-Table1[[#This Row],[Market_Budget]]</f>
        <v>6137.66</v>
      </c>
    </row>
    <row r="153" spans="1:25" x14ac:dyDescent="0.35">
      <c r="A153">
        <v>544756</v>
      </c>
      <c r="B153" s="1">
        <v>44241</v>
      </c>
      <c r="C153" s="1" t="str">
        <f>TEXT(Table1[[#This Row],[Date]],"dddd")</f>
        <v>Sunday</v>
      </c>
      <c r="D153" s="1" t="str">
        <f>IF(WEEKDAY(Table1[[#This Row],[Date]],2)&gt;5,"Weekend","Weekday")</f>
        <v>Weekend</v>
      </c>
      <c r="E153" t="s">
        <v>44</v>
      </c>
      <c r="F153" t="str">
        <f>_xlfn.TEXTAFTER(Table1[[#This Row],[Campaign_Name]],"_")</f>
        <v>Lal</v>
      </c>
      <c r="G153" t="str">
        <f>IF(ISNUMBER(SEARCH("Tier1",Table1[[#This Row],[Campaign_Name]])),"Tier1",IF(ISNUMBER(SEARCH("Tier2",Table1[[#This Row],[Campaign_Name]])),"Tier2","Not Applicable"))</f>
        <v>Not Applicable</v>
      </c>
      <c r="H153" t="s">
        <v>61</v>
      </c>
      <c r="I153" s="3">
        <v>170719</v>
      </c>
      <c r="J153" s="7">
        <v>605220</v>
      </c>
      <c r="K153" s="7">
        <v>7205</v>
      </c>
      <c r="L153" s="7">
        <v>142</v>
      </c>
      <c r="M153" s="7">
        <v>21</v>
      </c>
      <c r="N153" s="2">
        <v>14280</v>
      </c>
      <c r="O153" s="6">
        <f>Table1[[#This Row],[Clicks]]/Table1[[#This Row],[Impressions]]</f>
        <v>1.1904761904761904E-2</v>
      </c>
      <c r="P153" s="6">
        <f>Table1[[#This Row],[Leads]]/Table1[[#This Row],[Clicks]]</f>
        <v>1.9708535739070089E-2</v>
      </c>
      <c r="Q153" s="6" t="str">
        <f>IF(Table1[[#This Row],[Conversion1]]&gt;=2%,"High","Low")</f>
        <v>Low</v>
      </c>
      <c r="R153" s="6">
        <f>IFERROR(Table1[[#This Row],[Orders]]/Table1[[#This Row],[Leads]],0)</f>
        <v>0.14788732394366197</v>
      </c>
      <c r="S153" s="6" t="str">
        <f>IF(Table1[[#This Row],[Conversion2]]&gt;=15%,"High","Low")</f>
        <v>Low</v>
      </c>
      <c r="T153" s="4">
        <f>IFERROR(Table1[[#This Row],[Revenue]]/Table1[[#This Row],[Orders]],0)</f>
        <v>680</v>
      </c>
      <c r="U153" s="4">
        <f>Table1[[#This Row],[Market_Budget]]/Table1[[#This Row],[Clicks]]</f>
        <v>23.694517696044414</v>
      </c>
      <c r="V153" s="4">
        <f>IFERROR(Table1[[#This Row],[Market_Budget]]/Table1[[#This Row],[Leads]],0)</f>
        <v>1202.2464788732395</v>
      </c>
      <c r="W153" s="4">
        <f>IFERROR(Table1[[#This Row],[Market_Budget]]/Table1[[#This Row],[Orders]],0)</f>
        <v>8129.4761904761908</v>
      </c>
      <c r="X153" s="15">
        <f>(Table1[[#This Row],[Revenue]]-Table1[[#This Row],[Market_Budget]])/Table1[[#This Row],[Market_Budget]]</f>
        <v>-0.91635377433091803</v>
      </c>
      <c r="Y153" s="5">
        <f>Table1[[#This Row],[Revenue]]-Table1[[#This Row],[Market_Budget]]</f>
        <v>-156439</v>
      </c>
    </row>
    <row r="154" spans="1:25" x14ac:dyDescent="0.35">
      <c r="A154">
        <v>374754</v>
      </c>
      <c r="B154" s="1">
        <v>44241</v>
      </c>
      <c r="C154" s="1" t="str">
        <f>TEXT(Table1[[#This Row],[Date]],"dddd")</f>
        <v>Sunday</v>
      </c>
      <c r="D154" s="1" t="str">
        <f>IF(WEEKDAY(Table1[[#This Row],[Date]],2)&gt;5,"Weekend","Weekday")</f>
        <v>Weekend</v>
      </c>
      <c r="E154" t="s">
        <v>45</v>
      </c>
      <c r="F154" t="str">
        <f>_xlfn.TEXTAFTER(Table1[[#This Row],[Campaign_Name]],"_")</f>
        <v>Blogger</v>
      </c>
      <c r="G154" t="str">
        <f>IF(ISNUMBER(SEARCH("Tier1",Table1[[#This Row],[Campaign_Name]])),"Tier1",IF(ISNUMBER(SEARCH("Tier2",Table1[[#This Row],[Campaign_Name]])),"Tier2","Not Applicable"))</f>
        <v>Not Applicable</v>
      </c>
      <c r="H154" t="s">
        <v>48</v>
      </c>
      <c r="I154" s="3">
        <v>205870</v>
      </c>
      <c r="J154" s="7">
        <v>2429465</v>
      </c>
      <c r="K154" s="7">
        <v>17998</v>
      </c>
      <c r="L154" s="7">
        <v>354</v>
      </c>
      <c r="M154" s="7">
        <v>53</v>
      </c>
      <c r="N154" s="2">
        <v>306817</v>
      </c>
      <c r="O154" s="6">
        <f>Table1[[#This Row],[Clicks]]/Table1[[#This Row],[Impressions]]</f>
        <v>7.4082153889848176E-3</v>
      </c>
      <c r="P154" s="6">
        <f>Table1[[#This Row],[Leads]]/Table1[[#This Row],[Clicks]]</f>
        <v>1.9668852094677187E-2</v>
      </c>
      <c r="Q154" s="6" t="str">
        <f>IF(Table1[[#This Row],[Conversion1]]&gt;=2%,"High","Low")</f>
        <v>Low</v>
      </c>
      <c r="R154" s="6">
        <f>IFERROR(Table1[[#This Row],[Orders]]/Table1[[#This Row],[Leads]],0)</f>
        <v>0.14971751412429379</v>
      </c>
      <c r="S154" s="6" t="str">
        <f>IF(Table1[[#This Row],[Conversion2]]&gt;=15%,"High","Low")</f>
        <v>Low</v>
      </c>
      <c r="T154" s="4">
        <f>IFERROR(Table1[[#This Row],[Revenue]]/Table1[[#This Row],[Orders]],0)</f>
        <v>5789</v>
      </c>
      <c r="U154" s="4">
        <f>Table1[[#This Row],[Market_Budget]]/Table1[[#This Row],[Clicks]]</f>
        <v>11.438493165907323</v>
      </c>
      <c r="V154" s="4">
        <f>IFERROR(Table1[[#This Row],[Market_Budget]]/Table1[[#This Row],[Leads]],0)</f>
        <v>581.55367231638422</v>
      </c>
      <c r="W154" s="4">
        <f>IFERROR(Table1[[#This Row],[Market_Budget]]/Table1[[#This Row],[Orders]],0)</f>
        <v>3884.3396226415093</v>
      </c>
      <c r="X154" s="15">
        <f>(Table1[[#This Row],[Revenue]]-Table1[[#This Row],[Market_Budget]])/Table1[[#This Row],[Market_Budget]]</f>
        <v>0.49034342060523634</v>
      </c>
      <c r="Y154" s="5">
        <f>Table1[[#This Row],[Revenue]]-Table1[[#This Row],[Market_Budget]]</f>
        <v>100947</v>
      </c>
    </row>
    <row r="155" spans="1:25" x14ac:dyDescent="0.35">
      <c r="A155">
        <v>39889</v>
      </c>
      <c r="B155" s="1">
        <v>44241</v>
      </c>
      <c r="C155" s="1" t="str">
        <f>TEXT(Table1[[#This Row],[Date]],"dddd")</f>
        <v>Sunday</v>
      </c>
      <c r="D155" s="1" t="str">
        <f>IF(WEEKDAY(Table1[[#This Row],[Date]],2)&gt;5,"Weekend","Weekday")</f>
        <v>Weekend</v>
      </c>
      <c r="E155" t="s">
        <v>46</v>
      </c>
      <c r="F155" t="str">
        <f>_xlfn.TEXTAFTER(Table1[[#This Row],[Campaign_Name]],"_")</f>
        <v>Partner</v>
      </c>
      <c r="G155" t="str">
        <f>IF(ISNUMBER(SEARCH("Tier1",Table1[[#This Row],[Campaign_Name]])),"Tier1",IF(ISNUMBER(SEARCH("Tier2",Table1[[#This Row],[Campaign_Name]])),"Tier2","Not Applicable"))</f>
        <v>Not Applicable</v>
      </c>
      <c r="H155" t="s">
        <v>62</v>
      </c>
      <c r="I155" s="3">
        <v>225274</v>
      </c>
      <c r="J155" s="7">
        <v>7218480</v>
      </c>
      <c r="K155" s="7">
        <v>25190</v>
      </c>
      <c r="L155" s="7">
        <v>504</v>
      </c>
      <c r="M155" s="7">
        <v>76</v>
      </c>
      <c r="N155" s="2">
        <v>236056</v>
      </c>
      <c r="O155" s="6">
        <f>Table1[[#This Row],[Clicks]]/Table1[[#This Row],[Impressions]]</f>
        <v>3.4896543316598506E-3</v>
      </c>
      <c r="P155" s="6">
        <f>Table1[[#This Row],[Leads]]/Table1[[#This Row],[Clicks]]</f>
        <v>2.0007939658594681E-2</v>
      </c>
      <c r="Q155" s="6" t="str">
        <f>IF(Table1[[#This Row],[Conversion1]]&gt;=2%,"High","Low")</f>
        <v>High</v>
      </c>
      <c r="R155" s="6">
        <f>IFERROR(Table1[[#This Row],[Orders]]/Table1[[#This Row],[Leads]],0)</f>
        <v>0.15079365079365079</v>
      </c>
      <c r="S155" s="6" t="str">
        <f>IF(Table1[[#This Row],[Conversion2]]&gt;=15%,"High","Low")</f>
        <v>High</v>
      </c>
      <c r="T155" s="4">
        <f>IFERROR(Table1[[#This Row],[Revenue]]/Table1[[#This Row],[Orders]],0)</f>
        <v>3106</v>
      </c>
      <c r="U155" s="4">
        <f>Table1[[#This Row],[Market_Budget]]/Table1[[#This Row],[Clicks]]</f>
        <v>8.9429932512901953</v>
      </c>
      <c r="V155" s="4">
        <f>IFERROR(Table1[[#This Row],[Market_Budget]]/Table1[[#This Row],[Leads]],0)</f>
        <v>446.97222222222223</v>
      </c>
      <c r="W155" s="4">
        <f>IFERROR(Table1[[#This Row],[Market_Budget]]/Table1[[#This Row],[Orders]],0)</f>
        <v>2964.1315789473683</v>
      </c>
      <c r="X155" s="15">
        <f>(Table1[[#This Row],[Revenue]]-Table1[[#This Row],[Market_Budget]])/Table1[[#This Row],[Market_Budget]]</f>
        <v>4.7861715066985097E-2</v>
      </c>
      <c r="Y155" s="5">
        <f>Table1[[#This Row],[Revenue]]-Table1[[#This Row],[Market_Budget]]</f>
        <v>10782</v>
      </c>
    </row>
    <row r="156" spans="1:25" x14ac:dyDescent="0.35">
      <c r="A156">
        <v>349043</v>
      </c>
      <c r="B156" s="1">
        <v>44242</v>
      </c>
      <c r="C156" s="1" t="str">
        <f>TEXT(Table1[[#This Row],[Date]],"dddd")</f>
        <v>Monday</v>
      </c>
      <c r="D156" s="1" t="str">
        <f>IF(WEEKDAY(Table1[[#This Row],[Date]],2)&gt;5,"Weekend","Weekday")</f>
        <v>Weekday</v>
      </c>
      <c r="E156" t="s">
        <v>36</v>
      </c>
      <c r="F156" t="str">
        <f>_xlfn.TEXTAFTER(Table1[[#This Row],[Campaign_Name]],"_")</f>
        <v>Tier1</v>
      </c>
      <c r="G156" t="str">
        <f>IF(ISNUMBER(SEARCH("Tier1",Table1[[#This Row],[Campaign_Name]])),"Tier1",IF(ISNUMBER(SEARCH("Tier2",Table1[[#This Row],[Campaign_Name]])),"Tier2","Not Applicable"))</f>
        <v>Tier1</v>
      </c>
      <c r="H156" t="s">
        <v>61</v>
      </c>
      <c r="I156" s="3">
        <v>168064</v>
      </c>
      <c r="J156" s="7">
        <v>3361800</v>
      </c>
      <c r="K156" s="7">
        <v>16809</v>
      </c>
      <c r="L156" s="7">
        <v>247</v>
      </c>
      <c r="M156" s="7">
        <v>30</v>
      </c>
      <c r="N156" s="2">
        <v>149430</v>
      </c>
      <c r="O156" s="6">
        <f>Table1[[#This Row],[Clicks]]/Table1[[#This Row],[Impressions]]</f>
        <v>5.0000000000000001E-3</v>
      </c>
      <c r="P156" s="6">
        <f>Table1[[#This Row],[Leads]]/Table1[[#This Row],[Clicks]]</f>
        <v>1.4694508894044857E-2</v>
      </c>
      <c r="Q156" s="6" t="str">
        <f>IF(Table1[[#This Row],[Conversion1]]&gt;=2%,"High","Low")</f>
        <v>Low</v>
      </c>
      <c r="R156" s="6">
        <f>IFERROR(Table1[[#This Row],[Orders]]/Table1[[#This Row],[Leads]],0)</f>
        <v>0.1214574898785425</v>
      </c>
      <c r="S156" s="6" t="str">
        <f>IF(Table1[[#This Row],[Conversion2]]&gt;=15%,"High","Low")</f>
        <v>Low</v>
      </c>
      <c r="T156" s="4">
        <f>IFERROR(Table1[[#This Row],[Revenue]]/Table1[[#This Row],[Orders]],0)</f>
        <v>4981</v>
      </c>
      <c r="U156" s="4">
        <f>Table1[[#This Row],[Market_Budget]]/Table1[[#This Row],[Clicks]]</f>
        <v>9.9984532095901013</v>
      </c>
      <c r="V156" s="4">
        <f>IFERROR(Table1[[#This Row],[Market_Budget]]/Table1[[#This Row],[Leads]],0)</f>
        <v>680.42105263157896</v>
      </c>
      <c r="W156" s="4">
        <f>IFERROR(Table1[[#This Row],[Market_Budget]]/Table1[[#This Row],[Orders]],0)</f>
        <v>5602.1333333333332</v>
      </c>
      <c r="X156" s="15">
        <f>(Table1[[#This Row],[Revenue]]-Table1[[#This Row],[Market_Budget]])/Table1[[#This Row],[Market_Budget]]</f>
        <v>-0.11087442878903275</v>
      </c>
      <c r="Y156" s="5">
        <f>Table1[[#This Row],[Revenue]]-Table1[[#This Row],[Market_Budget]]</f>
        <v>-18634</v>
      </c>
    </row>
    <row r="157" spans="1:25" x14ac:dyDescent="0.35">
      <c r="A157">
        <v>348934</v>
      </c>
      <c r="B157" s="1">
        <v>44242</v>
      </c>
      <c r="C157" s="1" t="str">
        <f>TEXT(Table1[[#This Row],[Date]],"dddd")</f>
        <v>Monday</v>
      </c>
      <c r="D157" s="1" t="str">
        <f>IF(WEEKDAY(Table1[[#This Row],[Date]],2)&gt;5,"Weekend","Weekday")</f>
        <v>Weekday</v>
      </c>
      <c r="E157" t="s">
        <v>37</v>
      </c>
      <c r="F157" t="str">
        <f>_xlfn.TEXTAFTER(Table1[[#This Row],[Campaign_Name]],"_")</f>
        <v>Tier2</v>
      </c>
      <c r="G157" t="str">
        <f>IF(ISNUMBER(SEARCH("Tier1",Table1[[#This Row],[Campaign_Name]])),"Tier1",IF(ISNUMBER(SEARCH("Tier2",Table1[[#This Row],[Campaign_Name]])),"Tier2","Not Applicable"))</f>
        <v>Tier2</v>
      </c>
      <c r="H157" t="s">
        <v>61</v>
      </c>
      <c r="I157" s="3">
        <v>593576</v>
      </c>
      <c r="J157" s="7">
        <v>3441545</v>
      </c>
      <c r="K157" s="7">
        <v>23103</v>
      </c>
      <c r="L157" s="7">
        <v>694</v>
      </c>
      <c r="M157" s="7">
        <v>81</v>
      </c>
      <c r="N157" s="2">
        <v>403461</v>
      </c>
      <c r="O157" s="6">
        <f>Table1[[#This Row],[Clicks]]/Table1[[#This Row],[Impressions]]</f>
        <v>6.7129733884054984E-3</v>
      </c>
      <c r="P157" s="6">
        <f>Table1[[#This Row],[Leads]]/Table1[[#This Row],[Clicks]]</f>
        <v>3.0039388823962256E-2</v>
      </c>
      <c r="Q157" s="6" t="str">
        <f>IF(Table1[[#This Row],[Conversion1]]&gt;=2%,"High","Low")</f>
        <v>High</v>
      </c>
      <c r="R157" s="6">
        <f>IFERROR(Table1[[#This Row],[Orders]]/Table1[[#This Row],[Leads]],0)</f>
        <v>0.11671469740634005</v>
      </c>
      <c r="S157" s="6" t="str">
        <f>IF(Table1[[#This Row],[Conversion2]]&gt;=15%,"High","Low")</f>
        <v>Low</v>
      </c>
      <c r="T157" s="4">
        <f>IFERROR(Table1[[#This Row],[Revenue]]/Table1[[#This Row],[Orders]],0)</f>
        <v>4981</v>
      </c>
      <c r="U157" s="4">
        <f>Table1[[#This Row],[Market_Budget]]/Table1[[#This Row],[Clicks]]</f>
        <v>25.692594035406657</v>
      </c>
      <c r="V157" s="4">
        <f>IFERROR(Table1[[#This Row],[Market_Budget]]/Table1[[#This Row],[Leads]],0)</f>
        <v>855.29682997118152</v>
      </c>
      <c r="W157" s="4">
        <f>IFERROR(Table1[[#This Row],[Market_Budget]]/Table1[[#This Row],[Orders]],0)</f>
        <v>7328.0987654320988</v>
      </c>
      <c r="X157" s="15">
        <f>(Table1[[#This Row],[Revenue]]-Table1[[#This Row],[Market_Budget]])/Table1[[#This Row],[Market_Budget]]</f>
        <v>-0.32028754531854386</v>
      </c>
      <c r="Y157" s="5">
        <f>Table1[[#This Row],[Revenue]]-Table1[[#This Row],[Market_Budget]]</f>
        <v>-190115</v>
      </c>
    </row>
    <row r="158" spans="1:25" x14ac:dyDescent="0.35">
      <c r="A158">
        <v>89459845</v>
      </c>
      <c r="B158" s="1">
        <v>44242</v>
      </c>
      <c r="C158" s="1" t="str">
        <f>TEXT(Table1[[#This Row],[Date]],"dddd")</f>
        <v>Monday</v>
      </c>
      <c r="D158" s="1" t="str">
        <f>IF(WEEKDAY(Table1[[#This Row],[Date]],2)&gt;5,"Weekend","Weekday")</f>
        <v>Weekday</v>
      </c>
      <c r="E158" t="s">
        <v>38</v>
      </c>
      <c r="F158" t="str">
        <f>_xlfn.TEXTAFTER(Table1[[#This Row],[Campaign_Name]],"_")</f>
        <v>Hot</v>
      </c>
      <c r="G158" t="str">
        <f>IF(ISNUMBER(SEARCH("Tier1",Table1[[#This Row],[Campaign_Name]])),"Tier1",IF(ISNUMBER(SEARCH("Tier2",Table1[[#This Row],[Campaign_Name]])),"Tier2","Not Applicable"))</f>
        <v>Not Applicable</v>
      </c>
      <c r="H158" t="s">
        <v>47</v>
      </c>
      <c r="I158" s="3">
        <v>82930.7</v>
      </c>
      <c r="J158" s="7">
        <v>315350</v>
      </c>
      <c r="K158" s="7">
        <v>6307</v>
      </c>
      <c r="L158" s="7">
        <v>126</v>
      </c>
      <c r="M158" s="7">
        <v>19</v>
      </c>
      <c r="N158" s="2">
        <v>138073</v>
      </c>
      <c r="O158" s="6">
        <f>Table1[[#This Row],[Clicks]]/Table1[[#This Row],[Impressions]]</f>
        <v>0.02</v>
      </c>
      <c r="P158" s="6">
        <f>Table1[[#This Row],[Leads]]/Table1[[#This Row],[Clicks]]</f>
        <v>1.9977802441731411E-2</v>
      </c>
      <c r="Q158" s="6" t="str">
        <f>IF(Table1[[#This Row],[Conversion1]]&gt;=2%,"High","Low")</f>
        <v>Low</v>
      </c>
      <c r="R158" s="6">
        <f>IFERROR(Table1[[#This Row],[Orders]]/Table1[[#This Row],[Leads]],0)</f>
        <v>0.15079365079365079</v>
      </c>
      <c r="S158" s="6" t="str">
        <f>IF(Table1[[#This Row],[Conversion2]]&gt;=15%,"High","Low")</f>
        <v>High</v>
      </c>
      <c r="T158" s="4">
        <f>IFERROR(Table1[[#This Row],[Revenue]]/Table1[[#This Row],[Orders]],0)</f>
        <v>7267</v>
      </c>
      <c r="U158" s="4">
        <f>Table1[[#This Row],[Market_Budget]]/Table1[[#This Row],[Clicks]]</f>
        <v>13.148993182178531</v>
      </c>
      <c r="V158" s="4">
        <f>IFERROR(Table1[[#This Row],[Market_Budget]]/Table1[[#This Row],[Leads]],0)</f>
        <v>658.18015873015872</v>
      </c>
      <c r="W158" s="4">
        <f>IFERROR(Table1[[#This Row],[Market_Budget]]/Table1[[#This Row],[Orders]],0)</f>
        <v>4364.773684210526</v>
      </c>
      <c r="X158" s="15">
        <f>(Table1[[#This Row],[Revenue]]-Table1[[#This Row],[Market_Budget]])/Table1[[#This Row],[Market_Budget]]</f>
        <v>0.66492022857638977</v>
      </c>
      <c r="Y158" s="5">
        <f>Table1[[#This Row],[Revenue]]-Table1[[#This Row],[Market_Budget]]</f>
        <v>55142.3</v>
      </c>
    </row>
    <row r="159" spans="1:25" x14ac:dyDescent="0.35">
      <c r="A159">
        <v>127823</v>
      </c>
      <c r="B159" s="1">
        <v>44242</v>
      </c>
      <c r="C159" s="1" t="str">
        <f>TEXT(Table1[[#This Row],[Date]],"dddd")</f>
        <v>Monday</v>
      </c>
      <c r="D159" s="1" t="str">
        <f>IF(WEEKDAY(Table1[[#This Row],[Date]],2)&gt;5,"Weekend","Weekday")</f>
        <v>Weekday</v>
      </c>
      <c r="E159" t="s">
        <v>39</v>
      </c>
      <c r="F159" t="str">
        <f>_xlfn.TEXTAFTER(Table1[[#This Row],[Campaign_Name]],"_")</f>
        <v>Wide</v>
      </c>
      <c r="G159" t="str">
        <f>IF(ISNUMBER(SEARCH("Tier1",Table1[[#This Row],[Campaign_Name]])),"Tier1",IF(ISNUMBER(SEARCH("Tier2",Table1[[#This Row],[Campaign_Name]])),"Tier2","Not Applicable"))</f>
        <v>Not Applicable</v>
      </c>
      <c r="H159" t="s">
        <v>47</v>
      </c>
      <c r="I159" s="3">
        <v>124854</v>
      </c>
      <c r="J159" s="7">
        <v>3359600</v>
      </c>
      <c r="K159" s="7">
        <v>16798</v>
      </c>
      <c r="L159" s="7">
        <v>336</v>
      </c>
      <c r="M159" s="7">
        <v>31</v>
      </c>
      <c r="N159" s="2">
        <v>92411</v>
      </c>
      <c r="O159" s="6">
        <f>Table1[[#This Row],[Clicks]]/Table1[[#This Row],[Impressions]]</f>
        <v>5.0000000000000001E-3</v>
      </c>
      <c r="P159" s="6">
        <f>Table1[[#This Row],[Leads]]/Table1[[#This Row],[Clicks]]</f>
        <v>2.0002381235861413E-2</v>
      </c>
      <c r="Q159" s="6" t="str">
        <f>IF(Table1[[#This Row],[Conversion1]]&gt;=2%,"High","Low")</f>
        <v>High</v>
      </c>
      <c r="R159" s="6">
        <f>IFERROR(Table1[[#This Row],[Orders]]/Table1[[#This Row],[Leads]],0)</f>
        <v>9.2261904761904767E-2</v>
      </c>
      <c r="S159" s="6" t="str">
        <f>IF(Table1[[#This Row],[Conversion2]]&gt;=15%,"High","Low")</f>
        <v>Low</v>
      </c>
      <c r="T159" s="4">
        <f>IFERROR(Table1[[#This Row],[Revenue]]/Table1[[#This Row],[Orders]],0)</f>
        <v>2981</v>
      </c>
      <c r="U159" s="4">
        <f>Table1[[#This Row],[Market_Budget]]/Table1[[#This Row],[Clicks]]</f>
        <v>7.4326705560185733</v>
      </c>
      <c r="V159" s="4">
        <f>IFERROR(Table1[[#This Row],[Market_Budget]]/Table1[[#This Row],[Leads]],0)</f>
        <v>371.58928571428572</v>
      </c>
      <c r="W159" s="4">
        <f>IFERROR(Table1[[#This Row],[Market_Budget]]/Table1[[#This Row],[Orders]],0)</f>
        <v>4027.5483870967741</v>
      </c>
      <c r="X159" s="15">
        <f>(Table1[[#This Row],[Revenue]]-Table1[[#This Row],[Market_Budget]])/Table1[[#This Row],[Market_Budget]]</f>
        <v>-0.25984750188219841</v>
      </c>
      <c r="Y159" s="5">
        <f>Table1[[#This Row],[Revenue]]-Table1[[#This Row],[Market_Budget]]</f>
        <v>-32443</v>
      </c>
    </row>
    <row r="160" spans="1:25" x14ac:dyDescent="0.35">
      <c r="A160">
        <v>10934</v>
      </c>
      <c r="B160" s="1">
        <v>44242</v>
      </c>
      <c r="C160" s="1" t="str">
        <f>TEXT(Table1[[#This Row],[Date]],"dddd")</f>
        <v>Monday</v>
      </c>
      <c r="D160" s="1" t="str">
        <f>IF(WEEKDAY(Table1[[#This Row],[Date]],2)&gt;5,"Weekend","Weekday")</f>
        <v>Weekday</v>
      </c>
      <c r="E160" t="s">
        <v>40</v>
      </c>
      <c r="F160" t="str">
        <f>_xlfn.TEXTAFTER(Table1[[#This Row],[Campaign_Name]],"_")</f>
        <v>Blogger</v>
      </c>
      <c r="G160" t="str">
        <f>IF(ISNUMBER(SEARCH("Tier1",Table1[[#This Row],[Campaign_Name]])),"Tier1",IF(ISNUMBER(SEARCH("Tier2",Table1[[#This Row],[Campaign_Name]])),"Tier2","Not Applicable"))</f>
        <v>Not Applicable</v>
      </c>
      <c r="H160" t="s">
        <v>48</v>
      </c>
      <c r="I160" s="3">
        <v>151480</v>
      </c>
      <c r="J160" s="7">
        <v>2478877</v>
      </c>
      <c r="K160" s="7">
        <v>31504</v>
      </c>
      <c r="L160" s="7">
        <v>630</v>
      </c>
      <c r="M160" s="7">
        <v>98</v>
      </c>
      <c r="N160" s="2">
        <v>782138</v>
      </c>
      <c r="O160" s="6">
        <f>Table1[[#This Row],[Clicks]]/Table1[[#This Row],[Impressions]]</f>
        <v>1.2708980719898568E-2</v>
      </c>
      <c r="P160" s="6">
        <f>Table1[[#This Row],[Leads]]/Table1[[#This Row],[Clicks]]</f>
        <v>1.9997460639918741E-2</v>
      </c>
      <c r="Q160" s="6" t="str">
        <f>IF(Table1[[#This Row],[Conversion1]]&gt;=2%,"High","Low")</f>
        <v>Low</v>
      </c>
      <c r="R160" s="6">
        <f>IFERROR(Table1[[#This Row],[Orders]]/Table1[[#This Row],[Leads]],0)</f>
        <v>0.15555555555555556</v>
      </c>
      <c r="S160" s="6" t="str">
        <f>IF(Table1[[#This Row],[Conversion2]]&gt;=15%,"High","Low")</f>
        <v>High</v>
      </c>
      <c r="T160" s="4">
        <f>IFERROR(Table1[[#This Row],[Revenue]]/Table1[[#This Row],[Orders]],0)</f>
        <v>7981</v>
      </c>
      <c r="U160" s="4">
        <f>Table1[[#This Row],[Market_Budget]]/Table1[[#This Row],[Clicks]]</f>
        <v>4.8082783138649061</v>
      </c>
      <c r="V160" s="4">
        <f>IFERROR(Table1[[#This Row],[Market_Budget]]/Table1[[#This Row],[Leads]],0)</f>
        <v>240.44444444444446</v>
      </c>
      <c r="W160" s="4">
        <f>IFERROR(Table1[[#This Row],[Market_Budget]]/Table1[[#This Row],[Orders]],0)</f>
        <v>1545.7142857142858</v>
      </c>
      <c r="X160" s="15">
        <f>(Table1[[#This Row],[Revenue]]-Table1[[#This Row],[Market_Budget]])/Table1[[#This Row],[Market_Budget]]</f>
        <v>4.163308687615527</v>
      </c>
      <c r="Y160" s="5">
        <f>Table1[[#This Row],[Revenue]]-Table1[[#This Row],[Market_Budget]]</f>
        <v>630658</v>
      </c>
    </row>
    <row r="161" spans="1:25" x14ac:dyDescent="0.35">
      <c r="A161">
        <v>9034945</v>
      </c>
      <c r="B161" s="1">
        <v>44242</v>
      </c>
      <c r="C161" s="1" t="str">
        <f>TEXT(Table1[[#This Row],[Date]],"dddd")</f>
        <v>Monday</v>
      </c>
      <c r="D161" s="1" t="str">
        <f>IF(WEEKDAY(Table1[[#This Row],[Date]],2)&gt;5,"Weekend","Weekday")</f>
        <v>Weekday</v>
      </c>
      <c r="E161" t="s">
        <v>41</v>
      </c>
      <c r="F161" t="str">
        <f>_xlfn.TEXTAFTER(Table1[[#This Row],[Campaign_Name]],"_")</f>
        <v>Tier1</v>
      </c>
      <c r="G161" t="str">
        <f>IF(ISNUMBER(SEARCH("Tier1",Table1[[#This Row],[Campaign_Name]])),"Tier1",IF(ISNUMBER(SEARCH("Tier2",Table1[[#This Row],[Campaign_Name]])),"Tier2","Not Applicable"))</f>
        <v>Tier1</v>
      </c>
      <c r="H161" t="s">
        <v>61</v>
      </c>
      <c r="I161" s="3">
        <v>136269</v>
      </c>
      <c r="J161" s="7">
        <v>3780200</v>
      </c>
      <c r="K161" s="7">
        <v>18901</v>
      </c>
      <c r="L161" s="7">
        <v>378</v>
      </c>
      <c r="M161" s="7">
        <v>45</v>
      </c>
      <c r="N161" s="2">
        <v>269145</v>
      </c>
      <c r="O161" s="6">
        <f>Table1[[#This Row],[Clicks]]/Table1[[#This Row],[Impressions]]</f>
        <v>5.0000000000000001E-3</v>
      </c>
      <c r="P161" s="6">
        <f>Table1[[#This Row],[Leads]]/Table1[[#This Row],[Clicks]]</f>
        <v>1.9998941854928311E-2</v>
      </c>
      <c r="Q161" s="6" t="str">
        <f>IF(Table1[[#This Row],[Conversion1]]&gt;=2%,"High","Low")</f>
        <v>Low</v>
      </c>
      <c r="R161" s="6">
        <f>IFERROR(Table1[[#This Row],[Orders]]/Table1[[#This Row],[Leads]],0)</f>
        <v>0.11904761904761904</v>
      </c>
      <c r="S161" s="6" t="str">
        <f>IF(Table1[[#This Row],[Conversion2]]&gt;=15%,"High","Low")</f>
        <v>Low</v>
      </c>
      <c r="T161" s="4">
        <f>IFERROR(Table1[[#This Row],[Revenue]]/Table1[[#This Row],[Orders]],0)</f>
        <v>5981</v>
      </c>
      <c r="U161" s="4">
        <f>Table1[[#This Row],[Market_Budget]]/Table1[[#This Row],[Clicks]]</f>
        <v>7.2096185387016556</v>
      </c>
      <c r="V161" s="4">
        <f>IFERROR(Table1[[#This Row],[Market_Budget]]/Table1[[#This Row],[Leads]],0)</f>
        <v>360.5</v>
      </c>
      <c r="W161" s="4">
        <f>IFERROR(Table1[[#This Row],[Market_Budget]]/Table1[[#This Row],[Orders]],0)</f>
        <v>3028.2</v>
      </c>
      <c r="X161" s="15">
        <f>(Table1[[#This Row],[Revenue]]-Table1[[#This Row],[Market_Budget]])/Table1[[#This Row],[Market_Budget]]</f>
        <v>0.97510071989961034</v>
      </c>
      <c r="Y161" s="5">
        <f>Table1[[#This Row],[Revenue]]-Table1[[#This Row],[Market_Budget]]</f>
        <v>132876</v>
      </c>
    </row>
    <row r="162" spans="1:25" x14ac:dyDescent="0.35">
      <c r="A162">
        <v>983498</v>
      </c>
      <c r="B162" s="1">
        <v>44242</v>
      </c>
      <c r="C162" s="1" t="str">
        <f>TEXT(Table1[[#This Row],[Date]],"dddd")</f>
        <v>Monday</v>
      </c>
      <c r="D162" s="1" t="str">
        <f>IF(WEEKDAY(Table1[[#This Row],[Date]],2)&gt;5,"Weekend","Weekday")</f>
        <v>Weekday</v>
      </c>
      <c r="E162" t="s">
        <v>42</v>
      </c>
      <c r="F162" t="str">
        <f>_xlfn.TEXTAFTER(Table1[[#This Row],[Campaign_Name]],"_")</f>
        <v>Tier2</v>
      </c>
      <c r="G162" t="str">
        <f>IF(ISNUMBER(SEARCH("Tier1",Table1[[#This Row],[Campaign_Name]])),"Tier1",IF(ISNUMBER(SEARCH("Tier2",Table1[[#This Row],[Campaign_Name]])),"Tier2","Not Applicable"))</f>
        <v>Tier2</v>
      </c>
      <c r="H162" t="s">
        <v>61</v>
      </c>
      <c r="I162" s="3">
        <v>37098.6</v>
      </c>
      <c r="J162" s="7">
        <v>7138400</v>
      </c>
      <c r="K162" s="7">
        <v>35692</v>
      </c>
      <c r="L162" s="7">
        <v>916</v>
      </c>
      <c r="M162" s="7">
        <v>11</v>
      </c>
      <c r="N162" s="2">
        <v>21791</v>
      </c>
      <c r="O162" s="6">
        <f>Table1[[#This Row],[Clicks]]/Table1[[#This Row],[Impressions]]</f>
        <v>5.0000000000000001E-3</v>
      </c>
      <c r="P162" s="6">
        <f>Table1[[#This Row],[Leads]]/Table1[[#This Row],[Clicks]]</f>
        <v>2.566401434495125E-2</v>
      </c>
      <c r="Q162" s="6" t="str">
        <f>IF(Table1[[#This Row],[Conversion1]]&gt;=2%,"High","Low")</f>
        <v>High</v>
      </c>
      <c r="R162" s="6">
        <f>IFERROR(Table1[[#This Row],[Orders]]/Table1[[#This Row],[Leads]],0)</f>
        <v>1.2008733624454149E-2</v>
      </c>
      <c r="S162" s="6" t="str">
        <f>IF(Table1[[#This Row],[Conversion2]]&gt;=15%,"High","Low")</f>
        <v>Low</v>
      </c>
      <c r="T162" s="4">
        <f>IFERROR(Table1[[#This Row],[Revenue]]/Table1[[#This Row],[Orders]],0)</f>
        <v>1981</v>
      </c>
      <c r="U162" s="4">
        <f>Table1[[#This Row],[Market_Budget]]/Table1[[#This Row],[Clicks]]</f>
        <v>1.0394093914602711</v>
      </c>
      <c r="V162" s="4">
        <f>IFERROR(Table1[[#This Row],[Market_Budget]]/Table1[[#This Row],[Leads]],0)</f>
        <v>40.500655021834056</v>
      </c>
      <c r="W162" s="4">
        <f>IFERROR(Table1[[#This Row],[Market_Budget]]/Table1[[#This Row],[Orders]],0)</f>
        <v>3372.6</v>
      </c>
      <c r="X162" s="15">
        <f>(Table1[[#This Row],[Revenue]]-Table1[[#This Row],[Market_Budget]])/Table1[[#This Row],[Market_Budget]]</f>
        <v>-0.41261934412619344</v>
      </c>
      <c r="Y162" s="5">
        <f>Table1[[#This Row],[Revenue]]-Table1[[#This Row],[Market_Budget]]</f>
        <v>-15307.599999999999</v>
      </c>
    </row>
    <row r="163" spans="1:25" x14ac:dyDescent="0.35">
      <c r="A163">
        <v>4387490</v>
      </c>
      <c r="B163" s="1">
        <v>44242</v>
      </c>
      <c r="C163" s="1" t="str">
        <f>TEXT(Table1[[#This Row],[Date]],"dddd")</f>
        <v>Monday</v>
      </c>
      <c r="D163" s="1" t="str">
        <f>IF(WEEKDAY(Table1[[#This Row],[Date]],2)&gt;5,"Weekend","Weekday")</f>
        <v>Weekday</v>
      </c>
      <c r="E163" t="s">
        <v>43</v>
      </c>
      <c r="F163" t="str">
        <f>_xlfn.TEXTAFTER(Table1[[#This Row],[Campaign_Name]],"_")</f>
        <v>Retargeting</v>
      </c>
      <c r="G163" t="str">
        <f>IF(ISNUMBER(SEARCH("Tier1",Table1[[#This Row],[Campaign_Name]])),"Tier1",IF(ISNUMBER(SEARCH("Tier2",Table1[[#This Row],[Campaign_Name]])),"Tier2","Not Applicable"))</f>
        <v>Not Applicable</v>
      </c>
      <c r="H163" t="s">
        <v>61</v>
      </c>
      <c r="I163" s="3">
        <v>14609.5</v>
      </c>
      <c r="J163" s="7">
        <v>63986</v>
      </c>
      <c r="K163" s="7">
        <v>2099</v>
      </c>
      <c r="L163" s="7">
        <v>28</v>
      </c>
      <c r="M163" s="7">
        <v>5</v>
      </c>
      <c r="N163" s="2">
        <v>24905</v>
      </c>
      <c r="O163" s="6">
        <f>Table1[[#This Row],[Clicks]]/Table1[[#This Row],[Impressions]]</f>
        <v>3.2804050886131343E-2</v>
      </c>
      <c r="P163" s="6">
        <f>Table1[[#This Row],[Leads]]/Table1[[#This Row],[Clicks]]</f>
        <v>1.3339685564554549E-2</v>
      </c>
      <c r="Q163" s="6" t="str">
        <f>IF(Table1[[#This Row],[Conversion1]]&gt;=2%,"High","Low")</f>
        <v>Low</v>
      </c>
      <c r="R163" s="6">
        <f>IFERROR(Table1[[#This Row],[Orders]]/Table1[[#This Row],[Leads]],0)</f>
        <v>0.17857142857142858</v>
      </c>
      <c r="S163" s="6" t="str">
        <f>IF(Table1[[#This Row],[Conversion2]]&gt;=15%,"High","Low")</f>
        <v>High</v>
      </c>
      <c r="T163" s="4">
        <f>IFERROR(Table1[[#This Row],[Revenue]]/Table1[[#This Row],[Orders]],0)</f>
        <v>4981</v>
      </c>
      <c r="U163" s="4">
        <f>Table1[[#This Row],[Market_Budget]]/Table1[[#This Row],[Clicks]]</f>
        <v>6.9602191519771317</v>
      </c>
      <c r="V163" s="4">
        <f>IFERROR(Table1[[#This Row],[Market_Budget]]/Table1[[#This Row],[Leads]],0)</f>
        <v>521.76785714285711</v>
      </c>
      <c r="W163" s="4">
        <f>IFERROR(Table1[[#This Row],[Market_Budget]]/Table1[[#This Row],[Orders]],0)</f>
        <v>2921.9</v>
      </c>
      <c r="X163" s="15">
        <f>(Table1[[#This Row],[Revenue]]-Table1[[#This Row],[Market_Budget]])/Table1[[#This Row],[Market_Budget]]</f>
        <v>0.70471268695027212</v>
      </c>
      <c r="Y163" s="5">
        <f>Table1[[#This Row],[Revenue]]-Table1[[#This Row],[Market_Budget]]</f>
        <v>10295.5</v>
      </c>
    </row>
    <row r="164" spans="1:25" x14ac:dyDescent="0.35">
      <c r="A164">
        <v>544756</v>
      </c>
      <c r="B164" s="1">
        <v>44242</v>
      </c>
      <c r="C164" s="1" t="str">
        <f>TEXT(Table1[[#This Row],[Date]],"dddd")</f>
        <v>Monday</v>
      </c>
      <c r="D164" s="1" t="str">
        <f>IF(WEEKDAY(Table1[[#This Row],[Date]],2)&gt;5,"Weekend","Weekday")</f>
        <v>Weekday</v>
      </c>
      <c r="E164" t="s">
        <v>44</v>
      </c>
      <c r="F164" t="str">
        <f>_xlfn.TEXTAFTER(Table1[[#This Row],[Campaign_Name]],"_")</f>
        <v>Lal</v>
      </c>
      <c r="G164" t="str">
        <f>IF(ISNUMBER(SEARCH("Tier1",Table1[[#This Row],[Campaign_Name]])),"Tier1",IF(ISNUMBER(SEARCH("Tier2",Table1[[#This Row],[Campaign_Name]])),"Tier2","Not Applicable"))</f>
        <v>Not Applicable</v>
      </c>
      <c r="H164" t="s">
        <v>61</v>
      </c>
      <c r="I164" s="3">
        <v>6587.76</v>
      </c>
      <c r="J164" s="7">
        <v>1093435</v>
      </c>
      <c r="K164" s="7">
        <v>8402</v>
      </c>
      <c r="L164" s="7">
        <v>4</v>
      </c>
      <c r="M164" s="7">
        <v>1</v>
      </c>
      <c r="N164" s="2">
        <v>741</v>
      </c>
      <c r="O164" s="6">
        <f>Table1[[#This Row],[Clicks]]/Table1[[#This Row],[Impressions]]</f>
        <v>7.6840415754022874E-3</v>
      </c>
      <c r="P164" s="6">
        <f>Table1[[#This Row],[Leads]]/Table1[[#This Row],[Clicks]]</f>
        <v>4.7607712449416806E-4</v>
      </c>
      <c r="Q164" s="6" t="str">
        <f>IF(Table1[[#This Row],[Conversion1]]&gt;=2%,"High","Low")</f>
        <v>Low</v>
      </c>
      <c r="R164" s="6">
        <f>IFERROR(Table1[[#This Row],[Orders]]/Table1[[#This Row],[Leads]],0)</f>
        <v>0.25</v>
      </c>
      <c r="S164" s="6" t="str">
        <f>IF(Table1[[#This Row],[Conversion2]]&gt;=15%,"High","Low")</f>
        <v>High</v>
      </c>
      <c r="T164" s="4">
        <f>IFERROR(Table1[[#This Row],[Revenue]]/Table1[[#This Row],[Orders]],0)</f>
        <v>741</v>
      </c>
      <c r="U164" s="4">
        <f>Table1[[#This Row],[Market_Budget]]/Table1[[#This Row],[Clicks]]</f>
        <v>0.78407045941442521</v>
      </c>
      <c r="V164" s="4">
        <f>IFERROR(Table1[[#This Row],[Market_Budget]]/Table1[[#This Row],[Leads]],0)</f>
        <v>1646.94</v>
      </c>
      <c r="W164" s="4">
        <f>IFERROR(Table1[[#This Row],[Market_Budget]]/Table1[[#This Row],[Orders]],0)</f>
        <v>6587.76</v>
      </c>
      <c r="X164" s="15">
        <f>(Table1[[#This Row],[Revenue]]-Table1[[#This Row],[Market_Budget]])/Table1[[#This Row],[Market_Budget]]</f>
        <v>-0.88751867098983572</v>
      </c>
      <c r="Y164" s="5">
        <f>Table1[[#This Row],[Revenue]]-Table1[[#This Row],[Market_Budget]]</f>
        <v>-5846.76</v>
      </c>
    </row>
    <row r="165" spans="1:25" x14ac:dyDescent="0.35">
      <c r="A165">
        <v>374754</v>
      </c>
      <c r="B165" s="1">
        <v>44242</v>
      </c>
      <c r="C165" s="1" t="str">
        <f>TEXT(Table1[[#This Row],[Date]],"dddd")</f>
        <v>Monday</v>
      </c>
      <c r="D165" s="1" t="str">
        <f>IF(WEEKDAY(Table1[[#This Row],[Date]],2)&gt;5,"Weekend","Weekday")</f>
        <v>Weekday</v>
      </c>
      <c r="E165" t="s">
        <v>45</v>
      </c>
      <c r="F165" t="str">
        <f>_xlfn.TEXTAFTER(Table1[[#This Row],[Campaign_Name]],"_")</f>
        <v>Blogger</v>
      </c>
      <c r="G165" t="str">
        <f>IF(ISNUMBER(SEARCH("Tier1",Table1[[#This Row],[Campaign_Name]])),"Tier1",IF(ISNUMBER(SEARCH("Tier2",Table1[[#This Row],[Campaign_Name]])),"Tier2","Not Applicable"))</f>
        <v>Not Applicable</v>
      </c>
      <c r="H165" t="s">
        <v>48</v>
      </c>
      <c r="I165" s="3">
        <v>82452</v>
      </c>
      <c r="J165" s="7">
        <v>2100700</v>
      </c>
      <c r="K165" s="7">
        <v>21007</v>
      </c>
      <c r="L165" s="7">
        <v>122</v>
      </c>
      <c r="M165" s="7">
        <v>24</v>
      </c>
      <c r="N165" s="2">
        <v>103392</v>
      </c>
      <c r="O165" s="6">
        <f>Table1[[#This Row],[Clicks]]/Table1[[#This Row],[Impressions]]</f>
        <v>0.01</v>
      </c>
      <c r="P165" s="6">
        <f>Table1[[#This Row],[Leads]]/Table1[[#This Row],[Clicks]]</f>
        <v>5.8075879468748514E-3</v>
      </c>
      <c r="Q165" s="6" t="str">
        <f>IF(Table1[[#This Row],[Conversion1]]&gt;=2%,"High","Low")</f>
        <v>Low</v>
      </c>
      <c r="R165" s="6">
        <f>IFERROR(Table1[[#This Row],[Orders]]/Table1[[#This Row],[Leads]],0)</f>
        <v>0.19672131147540983</v>
      </c>
      <c r="S165" s="6" t="str">
        <f>IF(Table1[[#This Row],[Conversion2]]&gt;=15%,"High","Low")</f>
        <v>High</v>
      </c>
      <c r="T165" s="4">
        <f>IFERROR(Table1[[#This Row],[Revenue]]/Table1[[#This Row],[Orders]],0)</f>
        <v>4308</v>
      </c>
      <c r="U165" s="4">
        <f>Table1[[#This Row],[Market_Budget]]/Table1[[#This Row],[Clicks]]</f>
        <v>3.9249773884895509</v>
      </c>
      <c r="V165" s="4">
        <f>IFERROR(Table1[[#This Row],[Market_Budget]]/Table1[[#This Row],[Leads]],0)</f>
        <v>675.8360655737705</v>
      </c>
      <c r="W165" s="4">
        <f>IFERROR(Table1[[#This Row],[Market_Budget]]/Table1[[#This Row],[Orders]],0)</f>
        <v>3435.5</v>
      </c>
      <c r="X165" s="15">
        <f>(Table1[[#This Row],[Revenue]]-Table1[[#This Row],[Market_Budget]])/Table1[[#This Row],[Market_Budget]]</f>
        <v>0.25396594382186</v>
      </c>
      <c r="Y165" s="5">
        <f>Table1[[#This Row],[Revenue]]-Table1[[#This Row],[Market_Budget]]</f>
        <v>20940</v>
      </c>
    </row>
    <row r="166" spans="1:25" x14ac:dyDescent="0.35">
      <c r="A166">
        <v>39889</v>
      </c>
      <c r="B166" s="1">
        <v>44242</v>
      </c>
      <c r="C166" s="1" t="str">
        <f>TEXT(Table1[[#This Row],[Date]],"dddd")</f>
        <v>Monday</v>
      </c>
      <c r="D166" s="1" t="str">
        <f>IF(WEEKDAY(Table1[[#This Row],[Date]],2)&gt;5,"Weekend","Weekday")</f>
        <v>Weekday</v>
      </c>
      <c r="E166" t="s">
        <v>46</v>
      </c>
      <c r="F166" t="str">
        <f>_xlfn.TEXTAFTER(Table1[[#This Row],[Campaign_Name]],"_")</f>
        <v>Partner</v>
      </c>
      <c r="G166" t="str">
        <f>IF(ISNUMBER(SEARCH("Tier1",Table1[[#This Row],[Campaign_Name]])),"Tier1",IF(ISNUMBER(SEARCH("Tier2",Table1[[#This Row],[Campaign_Name]])),"Tier2","Not Applicable"))</f>
        <v>Not Applicable</v>
      </c>
      <c r="H166" t="s">
        <v>62</v>
      </c>
      <c r="I166" s="3">
        <v>543275</v>
      </c>
      <c r="J166" s="7">
        <v>8747458</v>
      </c>
      <c r="K166" s="7">
        <v>29390</v>
      </c>
      <c r="L166" s="7">
        <v>1061</v>
      </c>
      <c r="M166" s="7">
        <v>171</v>
      </c>
      <c r="N166" s="2">
        <v>809685</v>
      </c>
      <c r="O166" s="6">
        <f>Table1[[#This Row],[Clicks]]/Table1[[#This Row],[Impressions]]</f>
        <v>3.3598332224058693E-3</v>
      </c>
      <c r="P166" s="6">
        <f>Table1[[#This Row],[Leads]]/Table1[[#This Row],[Clicks]]</f>
        <v>3.6100714528751278E-2</v>
      </c>
      <c r="Q166" s="6" t="str">
        <f>IF(Table1[[#This Row],[Conversion1]]&gt;=2%,"High","Low")</f>
        <v>High</v>
      </c>
      <c r="R166" s="6">
        <f>IFERROR(Table1[[#This Row],[Orders]]/Table1[[#This Row],[Leads]],0)</f>
        <v>0.16116870876531575</v>
      </c>
      <c r="S166" s="6" t="str">
        <f>IF(Table1[[#This Row],[Conversion2]]&gt;=15%,"High","Low")</f>
        <v>High</v>
      </c>
      <c r="T166" s="4">
        <f>IFERROR(Table1[[#This Row],[Revenue]]/Table1[[#This Row],[Orders]],0)</f>
        <v>4735</v>
      </c>
      <c r="U166" s="4">
        <f>Table1[[#This Row],[Market_Budget]]/Table1[[#This Row],[Clicks]]</f>
        <v>18.485028921401838</v>
      </c>
      <c r="V166" s="4">
        <f>IFERROR(Table1[[#This Row],[Market_Budget]]/Table1[[#This Row],[Leads]],0)</f>
        <v>512.04052780395853</v>
      </c>
      <c r="W166" s="4">
        <f>IFERROR(Table1[[#This Row],[Market_Budget]]/Table1[[#This Row],[Orders]],0)</f>
        <v>3177.0467836257308</v>
      </c>
      <c r="X166" s="15">
        <f>(Table1[[#This Row],[Revenue]]-Table1[[#This Row],[Market_Budget]])/Table1[[#This Row],[Market_Budget]]</f>
        <v>0.49037780129768532</v>
      </c>
      <c r="Y166" s="5">
        <f>Table1[[#This Row],[Revenue]]-Table1[[#This Row],[Market_Budget]]</f>
        <v>266410</v>
      </c>
    </row>
    <row r="167" spans="1:25" x14ac:dyDescent="0.35">
      <c r="A167">
        <v>349043</v>
      </c>
      <c r="B167" s="1">
        <v>44243</v>
      </c>
      <c r="C167" s="1" t="str">
        <f>TEXT(Table1[[#This Row],[Date]],"dddd")</f>
        <v>Tuesday</v>
      </c>
      <c r="D167" s="1" t="str">
        <f>IF(WEEKDAY(Table1[[#This Row],[Date]],2)&gt;5,"Weekend","Weekday")</f>
        <v>Weekday</v>
      </c>
      <c r="E167" t="s">
        <v>36</v>
      </c>
      <c r="F167" t="str">
        <f>_xlfn.TEXTAFTER(Table1[[#This Row],[Campaign_Name]],"_")</f>
        <v>Tier1</v>
      </c>
      <c r="G167" t="str">
        <f>IF(ISNUMBER(SEARCH("Tier1",Table1[[#This Row],[Campaign_Name]])),"Tier1",IF(ISNUMBER(SEARCH("Tier2",Table1[[#This Row],[Campaign_Name]])),"Tier2","Not Applicable"))</f>
        <v>Tier1</v>
      </c>
      <c r="H167" t="s">
        <v>61</v>
      </c>
      <c r="I167" s="3">
        <v>393027</v>
      </c>
      <c r="J167" s="7">
        <v>3839000</v>
      </c>
      <c r="K167" s="7">
        <v>19195</v>
      </c>
      <c r="L167" s="7">
        <v>384</v>
      </c>
      <c r="M167" s="7">
        <v>64</v>
      </c>
      <c r="N167" s="2">
        <v>336448</v>
      </c>
      <c r="O167" s="6">
        <f>Table1[[#This Row],[Clicks]]/Table1[[#This Row],[Impressions]]</f>
        <v>5.0000000000000001E-3</v>
      </c>
      <c r="P167" s="6">
        <f>Table1[[#This Row],[Leads]]/Table1[[#This Row],[Clicks]]</f>
        <v>2.0005209690023444E-2</v>
      </c>
      <c r="Q167" s="6" t="str">
        <f>IF(Table1[[#This Row],[Conversion1]]&gt;=2%,"High","Low")</f>
        <v>High</v>
      </c>
      <c r="R167" s="6">
        <f>IFERROR(Table1[[#This Row],[Orders]]/Table1[[#This Row],[Leads]],0)</f>
        <v>0.16666666666666666</v>
      </c>
      <c r="S167" s="6" t="str">
        <f>IF(Table1[[#This Row],[Conversion2]]&gt;=15%,"High","Low")</f>
        <v>High</v>
      </c>
      <c r="T167" s="4">
        <f>IFERROR(Table1[[#This Row],[Revenue]]/Table1[[#This Row],[Orders]],0)</f>
        <v>5257</v>
      </c>
      <c r="U167" s="4">
        <f>Table1[[#This Row],[Market_Budget]]/Table1[[#This Row],[Clicks]]</f>
        <v>20.475488408439698</v>
      </c>
      <c r="V167" s="4">
        <f>IFERROR(Table1[[#This Row],[Market_Budget]]/Table1[[#This Row],[Leads]],0)</f>
        <v>1023.5078125</v>
      </c>
      <c r="W167" s="4">
        <f>IFERROR(Table1[[#This Row],[Market_Budget]]/Table1[[#This Row],[Orders]],0)</f>
        <v>6141.046875</v>
      </c>
      <c r="X167" s="15">
        <f>(Table1[[#This Row],[Revenue]]-Table1[[#This Row],[Market_Budget]])/Table1[[#This Row],[Market_Budget]]</f>
        <v>-0.14395703094189458</v>
      </c>
      <c r="Y167" s="5">
        <f>Table1[[#This Row],[Revenue]]-Table1[[#This Row],[Market_Budget]]</f>
        <v>-56579</v>
      </c>
    </row>
    <row r="168" spans="1:25" x14ac:dyDescent="0.35">
      <c r="A168">
        <v>348934</v>
      </c>
      <c r="B168" s="1">
        <v>44243</v>
      </c>
      <c r="C168" s="1" t="str">
        <f>TEXT(Table1[[#This Row],[Date]],"dddd")</f>
        <v>Tuesday</v>
      </c>
      <c r="D168" s="1" t="str">
        <f>IF(WEEKDAY(Table1[[#This Row],[Date]],2)&gt;5,"Weekend","Weekday")</f>
        <v>Weekday</v>
      </c>
      <c r="E168" t="s">
        <v>37</v>
      </c>
      <c r="F168" t="str">
        <f>_xlfn.TEXTAFTER(Table1[[#This Row],[Campaign_Name]],"_")</f>
        <v>Tier2</v>
      </c>
      <c r="G168" t="str">
        <f>IF(ISNUMBER(SEARCH("Tier1",Table1[[#This Row],[Campaign_Name]])),"Tier1",IF(ISNUMBER(SEARCH("Tier2",Table1[[#This Row],[Campaign_Name]])),"Tier2","Not Applicable"))</f>
        <v>Tier2</v>
      </c>
      <c r="H168" t="s">
        <v>61</v>
      </c>
      <c r="I168" s="3">
        <v>595176</v>
      </c>
      <c r="J168" s="7">
        <v>5280000</v>
      </c>
      <c r="K168" s="7">
        <v>26400</v>
      </c>
      <c r="L168" s="7">
        <v>923</v>
      </c>
      <c r="M168" s="7">
        <v>80</v>
      </c>
      <c r="N168" s="2">
        <v>392160</v>
      </c>
      <c r="O168" s="6">
        <f>Table1[[#This Row],[Clicks]]/Table1[[#This Row],[Impressions]]</f>
        <v>5.0000000000000001E-3</v>
      </c>
      <c r="P168" s="6">
        <f>Table1[[#This Row],[Leads]]/Table1[[#This Row],[Clicks]]</f>
        <v>3.4962121212121215E-2</v>
      </c>
      <c r="Q168" s="6" t="str">
        <f>IF(Table1[[#This Row],[Conversion1]]&gt;=2%,"High","Low")</f>
        <v>High</v>
      </c>
      <c r="R168" s="6">
        <f>IFERROR(Table1[[#This Row],[Orders]]/Table1[[#This Row],[Leads]],0)</f>
        <v>8.6673889490790898E-2</v>
      </c>
      <c r="S168" s="6" t="str">
        <f>IF(Table1[[#This Row],[Conversion2]]&gt;=15%,"High","Low")</f>
        <v>Low</v>
      </c>
      <c r="T168" s="4">
        <f>IFERROR(Table1[[#This Row],[Revenue]]/Table1[[#This Row],[Orders]],0)</f>
        <v>4902</v>
      </c>
      <c r="U168" s="4">
        <f>Table1[[#This Row],[Market_Budget]]/Table1[[#This Row],[Clicks]]</f>
        <v>22.544545454545453</v>
      </c>
      <c r="V168" s="4">
        <f>IFERROR(Table1[[#This Row],[Market_Budget]]/Table1[[#This Row],[Leads]],0)</f>
        <v>644.82773564463707</v>
      </c>
      <c r="W168" s="4">
        <f>IFERROR(Table1[[#This Row],[Market_Budget]]/Table1[[#This Row],[Orders]],0)</f>
        <v>7439.7</v>
      </c>
      <c r="X168" s="15">
        <f>(Table1[[#This Row],[Revenue]]-Table1[[#This Row],[Market_Budget]])/Table1[[#This Row],[Market_Budget]]</f>
        <v>-0.34110246380902454</v>
      </c>
      <c r="Y168" s="5">
        <f>Table1[[#This Row],[Revenue]]-Table1[[#This Row],[Market_Budget]]</f>
        <v>-203016</v>
      </c>
    </row>
    <row r="169" spans="1:25" x14ac:dyDescent="0.35">
      <c r="A169">
        <v>89459845</v>
      </c>
      <c r="B169" s="1">
        <v>44243</v>
      </c>
      <c r="C169" s="1" t="str">
        <f>TEXT(Table1[[#This Row],[Date]],"dddd")</f>
        <v>Tuesday</v>
      </c>
      <c r="D169" s="1" t="str">
        <f>IF(WEEKDAY(Table1[[#This Row],[Date]],2)&gt;5,"Weekend","Weekday")</f>
        <v>Weekday</v>
      </c>
      <c r="E169" t="s">
        <v>38</v>
      </c>
      <c r="F169" t="str">
        <f>_xlfn.TEXTAFTER(Table1[[#This Row],[Campaign_Name]],"_")</f>
        <v>Hot</v>
      </c>
      <c r="G169" t="str">
        <f>IF(ISNUMBER(SEARCH("Tier1",Table1[[#This Row],[Campaign_Name]])),"Tier1",IF(ISNUMBER(SEARCH("Tier2",Table1[[#This Row],[Campaign_Name]])),"Tier2","Not Applicable"))</f>
        <v>Not Applicable</v>
      </c>
      <c r="H169" t="s">
        <v>47</v>
      </c>
      <c r="I169" s="3">
        <v>102053</v>
      </c>
      <c r="J169" s="7">
        <v>373184</v>
      </c>
      <c r="K169" s="7">
        <v>7198</v>
      </c>
      <c r="L169" s="7">
        <v>144</v>
      </c>
      <c r="M169" s="7">
        <v>22</v>
      </c>
      <c r="N169" s="2">
        <v>185482</v>
      </c>
      <c r="O169" s="6">
        <f>Table1[[#This Row],[Clicks]]/Table1[[#This Row],[Impressions]]</f>
        <v>1.9288072371805864E-2</v>
      </c>
      <c r="P169" s="6">
        <f>Table1[[#This Row],[Leads]]/Table1[[#This Row],[Clicks]]</f>
        <v>2.0005557099194219E-2</v>
      </c>
      <c r="Q169" s="6" t="str">
        <f>IF(Table1[[#This Row],[Conversion1]]&gt;=2%,"High","Low")</f>
        <v>High</v>
      </c>
      <c r="R169" s="6">
        <f>IFERROR(Table1[[#This Row],[Orders]]/Table1[[#This Row],[Leads]],0)</f>
        <v>0.15277777777777779</v>
      </c>
      <c r="S169" s="6" t="str">
        <f>IF(Table1[[#This Row],[Conversion2]]&gt;=15%,"High","Low")</f>
        <v>High</v>
      </c>
      <c r="T169" s="4">
        <f>IFERROR(Table1[[#This Row],[Revenue]]/Table1[[#This Row],[Orders]],0)</f>
        <v>8431</v>
      </c>
      <c r="U169" s="4">
        <f>Table1[[#This Row],[Market_Budget]]/Table1[[#This Row],[Clicks]]</f>
        <v>14.177966101694915</v>
      </c>
      <c r="V169" s="4">
        <f>IFERROR(Table1[[#This Row],[Market_Budget]]/Table1[[#This Row],[Leads]],0)</f>
        <v>708.70138888888891</v>
      </c>
      <c r="W169" s="4">
        <f>IFERROR(Table1[[#This Row],[Market_Budget]]/Table1[[#This Row],[Orders]],0)</f>
        <v>4638.772727272727</v>
      </c>
      <c r="X169" s="15">
        <f>(Table1[[#This Row],[Revenue]]-Table1[[#This Row],[Market_Budget]])/Table1[[#This Row],[Market_Budget]]</f>
        <v>0.81750658971318824</v>
      </c>
      <c r="Y169" s="5">
        <f>Table1[[#This Row],[Revenue]]-Table1[[#This Row],[Market_Budget]]</f>
        <v>83429</v>
      </c>
    </row>
    <row r="170" spans="1:25" x14ac:dyDescent="0.35">
      <c r="A170">
        <v>127823</v>
      </c>
      <c r="B170" s="1">
        <v>44243</v>
      </c>
      <c r="C170" s="1" t="str">
        <f>TEXT(Table1[[#This Row],[Date]],"dddd")</f>
        <v>Tuesday</v>
      </c>
      <c r="D170" s="1" t="str">
        <f>IF(WEEKDAY(Table1[[#This Row],[Date]],2)&gt;5,"Weekend","Weekday")</f>
        <v>Weekday</v>
      </c>
      <c r="E170" t="s">
        <v>39</v>
      </c>
      <c r="F170" t="str">
        <f>_xlfn.TEXTAFTER(Table1[[#This Row],[Campaign_Name]],"_")</f>
        <v>Wide</v>
      </c>
      <c r="G170" t="str">
        <f>IF(ISNUMBER(SEARCH("Tier1",Table1[[#This Row],[Campaign_Name]])),"Tier1",IF(ISNUMBER(SEARCH("Tier2",Table1[[#This Row],[Campaign_Name]])),"Tier2","Not Applicable"))</f>
        <v>Not Applicable</v>
      </c>
      <c r="H170" t="s">
        <v>47</v>
      </c>
      <c r="I170" s="3">
        <v>271906</v>
      </c>
      <c r="J170" s="7">
        <v>3841400</v>
      </c>
      <c r="K170" s="7">
        <v>19207</v>
      </c>
      <c r="L170" s="7">
        <v>666</v>
      </c>
      <c r="M170" s="7">
        <v>67</v>
      </c>
      <c r="N170" s="2">
        <v>199727</v>
      </c>
      <c r="O170" s="6">
        <f>Table1[[#This Row],[Clicks]]/Table1[[#This Row],[Impressions]]</f>
        <v>5.0000000000000001E-3</v>
      </c>
      <c r="P170" s="6">
        <f>Table1[[#This Row],[Leads]]/Table1[[#This Row],[Clicks]]</f>
        <v>3.4674858124642056E-2</v>
      </c>
      <c r="Q170" s="6" t="str">
        <f>IF(Table1[[#This Row],[Conversion1]]&gt;=2%,"High","Low")</f>
        <v>High</v>
      </c>
      <c r="R170" s="6">
        <f>IFERROR(Table1[[#This Row],[Orders]]/Table1[[#This Row],[Leads]],0)</f>
        <v>0.1006006006006006</v>
      </c>
      <c r="S170" s="6" t="str">
        <f>IF(Table1[[#This Row],[Conversion2]]&gt;=15%,"High","Low")</f>
        <v>Low</v>
      </c>
      <c r="T170" s="4">
        <f>IFERROR(Table1[[#This Row],[Revenue]]/Table1[[#This Row],[Orders]],0)</f>
        <v>2981</v>
      </c>
      <c r="U170" s="4">
        <f>Table1[[#This Row],[Market_Budget]]/Table1[[#This Row],[Clicks]]</f>
        <v>14.156609569427813</v>
      </c>
      <c r="V170" s="4">
        <f>IFERROR(Table1[[#This Row],[Market_Budget]]/Table1[[#This Row],[Leads]],0)</f>
        <v>408.26726726726724</v>
      </c>
      <c r="W170" s="4">
        <f>IFERROR(Table1[[#This Row],[Market_Budget]]/Table1[[#This Row],[Orders]],0)</f>
        <v>4058.2985074626868</v>
      </c>
      <c r="X170" s="15">
        <f>(Table1[[#This Row],[Revenue]]-Table1[[#This Row],[Market_Budget]])/Table1[[#This Row],[Market_Budget]]</f>
        <v>-0.26545570895824294</v>
      </c>
      <c r="Y170" s="5">
        <f>Table1[[#This Row],[Revenue]]-Table1[[#This Row],[Market_Budget]]</f>
        <v>-72179</v>
      </c>
    </row>
    <row r="171" spans="1:25" x14ac:dyDescent="0.35">
      <c r="A171">
        <v>10934</v>
      </c>
      <c r="B171" s="1">
        <v>44243</v>
      </c>
      <c r="C171" s="1" t="str">
        <f>TEXT(Table1[[#This Row],[Date]],"dddd")</f>
        <v>Tuesday</v>
      </c>
      <c r="D171" s="1" t="str">
        <f>IF(WEEKDAY(Table1[[#This Row],[Date]],2)&gt;5,"Weekend","Weekday")</f>
        <v>Weekday</v>
      </c>
      <c r="E171" t="s">
        <v>40</v>
      </c>
      <c r="F171" t="str">
        <f>_xlfn.TEXTAFTER(Table1[[#This Row],[Campaign_Name]],"_")</f>
        <v>Blogger</v>
      </c>
      <c r="G171" t="str">
        <f>IF(ISNUMBER(SEARCH("Tier1",Table1[[#This Row],[Campaign_Name]])),"Tier1",IF(ISNUMBER(SEARCH("Tier2",Table1[[#This Row],[Campaign_Name]])),"Tier2","Not Applicable"))</f>
        <v>Not Applicable</v>
      </c>
      <c r="H171" t="s">
        <v>48</v>
      </c>
      <c r="I171" s="3">
        <v>221258</v>
      </c>
      <c r="J171" s="7">
        <v>4371118</v>
      </c>
      <c r="K171" s="7">
        <v>35999</v>
      </c>
      <c r="L171" s="7">
        <v>720</v>
      </c>
      <c r="M171" s="7">
        <v>128</v>
      </c>
      <c r="N171" s="2">
        <v>1021570</v>
      </c>
      <c r="O171" s="6">
        <f>Table1[[#This Row],[Clicks]]/Table1[[#This Row],[Impressions]]</f>
        <v>8.2356504674547786E-3</v>
      </c>
      <c r="P171" s="6">
        <f>Table1[[#This Row],[Leads]]/Table1[[#This Row],[Clicks]]</f>
        <v>2.0000555570988083E-2</v>
      </c>
      <c r="Q171" s="6" t="str">
        <f>IF(Table1[[#This Row],[Conversion1]]&gt;=2%,"High","Low")</f>
        <v>High</v>
      </c>
      <c r="R171" s="6">
        <f>IFERROR(Table1[[#This Row],[Orders]]/Table1[[#This Row],[Leads]],0)</f>
        <v>0.17777777777777778</v>
      </c>
      <c r="S171" s="6" t="str">
        <f>IF(Table1[[#This Row],[Conversion2]]&gt;=15%,"High","Low")</f>
        <v>High</v>
      </c>
      <c r="T171" s="4">
        <f>IFERROR(Table1[[#This Row],[Revenue]]/Table1[[#This Row],[Orders]],0)</f>
        <v>7981.015625</v>
      </c>
      <c r="U171" s="4">
        <f>Table1[[#This Row],[Market_Budget]]/Table1[[#This Row],[Clicks]]</f>
        <v>6.1462262840634461</v>
      </c>
      <c r="V171" s="4">
        <f>IFERROR(Table1[[#This Row],[Market_Budget]]/Table1[[#This Row],[Leads]],0)</f>
        <v>307.30277777777781</v>
      </c>
      <c r="W171" s="4">
        <f>IFERROR(Table1[[#This Row],[Market_Budget]]/Table1[[#This Row],[Orders]],0)</f>
        <v>1728.578125</v>
      </c>
      <c r="X171" s="15">
        <f>(Table1[[#This Row],[Revenue]]-Table1[[#This Row],[Market_Budget]])/Table1[[#This Row],[Market_Budget]]</f>
        <v>3.6170985907854178</v>
      </c>
      <c r="Y171" s="5">
        <f>Table1[[#This Row],[Revenue]]-Table1[[#This Row],[Market_Budget]]</f>
        <v>800312</v>
      </c>
    </row>
    <row r="172" spans="1:25" x14ac:dyDescent="0.35">
      <c r="A172">
        <v>9034945</v>
      </c>
      <c r="B172" s="1">
        <v>44243</v>
      </c>
      <c r="C172" s="1" t="str">
        <f>TEXT(Table1[[#This Row],[Date]],"dddd")</f>
        <v>Tuesday</v>
      </c>
      <c r="D172" s="1" t="str">
        <f>IF(WEEKDAY(Table1[[#This Row],[Date]],2)&gt;5,"Weekend","Weekday")</f>
        <v>Weekday</v>
      </c>
      <c r="E172" t="s">
        <v>41</v>
      </c>
      <c r="F172" t="str">
        <f>_xlfn.TEXTAFTER(Table1[[#This Row],[Campaign_Name]],"_")</f>
        <v>Tier1</v>
      </c>
      <c r="G172" t="str">
        <f>IF(ISNUMBER(SEARCH("Tier1",Table1[[#This Row],[Campaign_Name]])),"Tier1",IF(ISNUMBER(SEARCH("Tier2",Table1[[#This Row],[Campaign_Name]])),"Tier2","Not Applicable"))</f>
        <v>Tier1</v>
      </c>
      <c r="H172" t="s">
        <v>61</v>
      </c>
      <c r="I172" s="3">
        <v>143680</v>
      </c>
      <c r="J172" s="7">
        <v>4319200</v>
      </c>
      <c r="K172" s="7">
        <v>21596</v>
      </c>
      <c r="L172" s="7">
        <v>432</v>
      </c>
      <c r="M172" s="7">
        <v>34</v>
      </c>
      <c r="N172" s="2">
        <v>171972</v>
      </c>
      <c r="O172" s="6">
        <f>Table1[[#This Row],[Clicks]]/Table1[[#This Row],[Impressions]]</f>
        <v>5.0000000000000001E-3</v>
      </c>
      <c r="P172" s="6">
        <f>Table1[[#This Row],[Leads]]/Table1[[#This Row],[Clicks]]</f>
        <v>2.0003704389701796E-2</v>
      </c>
      <c r="Q172" s="6" t="str">
        <f>IF(Table1[[#This Row],[Conversion1]]&gt;=2%,"High","Low")</f>
        <v>High</v>
      </c>
      <c r="R172" s="6">
        <f>IFERROR(Table1[[#This Row],[Orders]]/Table1[[#This Row],[Leads]],0)</f>
        <v>7.8703703703703706E-2</v>
      </c>
      <c r="S172" s="6" t="str">
        <f>IF(Table1[[#This Row],[Conversion2]]&gt;=15%,"High","Low")</f>
        <v>Low</v>
      </c>
      <c r="T172" s="4">
        <f>IFERROR(Table1[[#This Row],[Revenue]]/Table1[[#This Row],[Orders]],0)</f>
        <v>5058</v>
      </c>
      <c r="U172" s="4">
        <f>Table1[[#This Row],[Market_Budget]]/Table1[[#This Row],[Clicks]]</f>
        <v>6.6530839044267456</v>
      </c>
      <c r="V172" s="4">
        <f>IFERROR(Table1[[#This Row],[Market_Budget]]/Table1[[#This Row],[Leads]],0)</f>
        <v>332.59259259259261</v>
      </c>
      <c r="W172" s="4">
        <f>IFERROR(Table1[[#This Row],[Market_Budget]]/Table1[[#This Row],[Orders]],0)</f>
        <v>4225.8823529411766</v>
      </c>
      <c r="X172" s="15">
        <f>(Table1[[#This Row],[Revenue]]-Table1[[#This Row],[Market_Budget]])/Table1[[#This Row],[Market_Budget]]</f>
        <v>0.1969097995545657</v>
      </c>
      <c r="Y172" s="5">
        <f>Table1[[#This Row],[Revenue]]-Table1[[#This Row],[Market_Budget]]</f>
        <v>28292</v>
      </c>
    </row>
    <row r="173" spans="1:25" x14ac:dyDescent="0.35">
      <c r="A173">
        <v>983498</v>
      </c>
      <c r="B173" s="1">
        <v>44243</v>
      </c>
      <c r="C173" s="1" t="str">
        <f>TEXT(Table1[[#This Row],[Date]],"dddd")</f>
        <v>Tuesday</v>
      </c>
      <c r="D173" s="1" t="str">
        <f>IF(WEEKDAY(Table1[[#This Row],[Date]],2)&gt;5,"Weekend","Weekday")</f>
        <v>Weekday</v>
      </c>
      <c r="E173" t="s">
        <v>42</v>
      </c>
      <c r="F173" t="str">
        <f>_xlfn.TEXTAFTER(Table1[[#This Row],[Campaign_Name]],"_")</f>
        <v>Tier2</v>
      </c>
      <c r="G173" t="str">
        <f>IF(ISNUMBER(SEARCH("Tier1",Table1[[#This Row],[Campaign_Name]])),"Tier1",IF(ISNUMBER(SEARCH("Tier2",Table1[[#This Row],[Campaign_Name]])),"Tier2","Not Applicable"))</f>
        <v>Tier2</v>
      </c>
      <c r="H173" t="s">
        <v>61</v>
      </c>
      <c r="I173" s="3">
        <v>103731</v>
      </c>
      <c r="J173" s="7">
        <v>15988504</v>
      </c>
      <c r="K173" s="7">
        <v>40794</v>
      </c>
      <c r="L173" s="7">
        <v>816</v>
      </c>
      <c r="M173" s="7">
        <v>24</v>
      </c>
      <c r="N173" s="2">
        <v>41424</v>
      </c>
      <c r="O173" s="6">
        <f>Table1[[#This Row],[Clicks]]/Table1[[#This Row],[Impressions]]</f>
        <v>2.5514582227330338E-3</v>
      </c>
      <c r="P173" s="6">
        <f>Table1[[#This Row],[Leads]]/Table1[[#This Row],[Clicks]]</f>
        <v>2.0002941609060156E-2</v>
      </c>
      <c r="Q173" s="6" t="str">
        <f>IF(Table1[[#This Row],[Conversion1]]&gt;=2%,"High","Low")</f>
        <v>High</v>
      </c>
      <c r="R173" s="6">
        <f>IFERROR(Table1[[#This Row],[Orders]]/Table1[[#This Row],[Leads]],0)</f>
        <v>2.9411764705882353E-2</v>
      </c>
      <c r="S173" s="6" t="str">
        <f>IF(Table1[[#This Row],[Conversion2]]&gt;=15%,"High","Low")</f>
        <v>Low</v>
      </c>
      <c r="T173" s="4">
        <f>IFERROR(Table1[[#This Row],[Revenue]]/Table1[[#This Row],[Orders]],0)</f>
        <v>1726</v>
      </c>
      <c r="U173" s="4">
        <f>Table1[[#This Row],[Market_Budget]]/Table1[[#This Row],[Clicks]]</f>
        <v>2.5428004118252683</v>
      </c>
      <c r="V173" s="4">
        <f>IFERROR(Table1[[#This Row],[Market_Budget]]/Table1[[#This Row],[Leads]],0)</f>
        <v>127.12132352941177</v>
      </c>
      <c r="W173" s="4">
        <f>IFERROR(Table1[[#This Row],[Market_Budget]]/Table1[[#This Row],[Orders]],0)</f>
        <v>4322.125</v>
      </c>
      <c r="X173" s="15">
        <f>(Table1[[#This Row],[Revenue]]-Table1[[#This Row],[Market_Budget]])/Table1[[#This Row],[Market_Budget]]</f>
        <v>-0.60065939786563327</v>
      </c>
      <c r="Y173" s="5">
        <f>Table1[[#This Row],[Revenue]]-Table1[[#This Row],[Market_Budget]]</f>
        <v>-62307</v>
      </c>
    </row>
    <row r="174" spans="1:25" x14ac:dyDescent="0.35">
      <c r="A174">
        <v>4387490</v>
      </c>
      <c r="B174" s="1">
        <v>44243</v>
      </c>
      <c r="C174" s="1" t="str">
        <f>TEXT(Table1[[#This Row],[Date]],"dddd")</f>
        <v>Tuesday</v>
      </c>
      <c r="D174" s="1" t="str">
        <f>IF(WEEKDAY(Table1[[#This Row],[Date]],2)&gt;5,"Weekend","Weekday")</f>
        <v>Weekday</v>
      </c>
      <c r="E174" t="s">
        <v>43</v>
      </c>
      <c r="F174" t="str">
        <f>_xlfn.TEXTAFTER(Table1[[#This Row],[Campaign_Name]],"_")</f>
        <v>Retargeting</v>
      </c>
      <c r="G174" t="str">
        <f>IF(ISNUMBER(SEARCH("Tier1",Table1[[#This Row],[Campaign_Name]])),"Tier1",IF(ISNUMBER(SEARCH("Tier2",Table1[[#This Row],[Campaign_Name]])),"Tier2","Not Applicable"))</f>
        <v>Not Applicable</v>
      </c>
      <c r="H174" t="s">
        <v>61</v>
      </c>
      <c r="I174" s="3">
        <v>31712</v>
      </c>
      <c r="J174" s="7">
        <v>80233</v>
      </c>
      <c r="K174" s="7">
        <v>2407</v>
      </c>
      <c r="L174" s="7">
        <v>48</v>
      </c>
      <c r="M174" s="7">
        <v>12</v>
      </c>
      <c r="N174" s="2">
        <v>59772</v>
      </c>
      <c r="O174" s="6">
        <f>Table1[[#This Row],[Clicks]]/Table1[[#This Row],[Impressions]]</f>
        <v>3.0000124636994752E-2</v>
      </c>
      <c r="P174" s="6">
        <f>Table1[[#This Row],[Leads]]/Table1[[#This Row],[Clicks]]</f>
        <v>1.9941836310760283E-2</v>
      </c>
      <c r="Q174" s="6" t="str">
        <f>IF(Table1[[#This Row],[Conversion1]]&gt;=2%,"High","Low")</f>
        <v>Low</v>
      </c>
      <c r="R174" s="6">
        <f>IFERROR(Table1[[#This Row],[Orders]]/Table1[[#This Row],[Leads]],0)</f>
        <v>0.25</v>
      </c>
      <c r="S174" s="6" t="str">
        <f>IF(Table1[[#This Row],[Conversion2]]&gt;=15%,"High","Low")</f>
        <v>High</v>
      </c>
      <c r="T174" s="4">
        <f>IFERROR(Table1[[#This Row],[Revenue]]/Table1[[#This Row],[Orders]],0)</f>
        <v>4981</v>
      </c>
      <c r="U174" s="4">
        <f>Table1[[#This Row],[Market_Budget]]/Table1[[#This Row],[Clicks]]</f>
        <v>13.174906522642294</v>
      </c>
      <c r="V174" s="4">
        <f>IFERROR(Table1[[#This Row],[Market_Budget]]/Table1[[#This Row],[Leads]],0)</f>
        <v>660.66666666666663</v>
      </c>
      <c r="W174" s="4">
        <f>IFERROR(Table1[[#This Row],[Market_Budget]]/Table1[[#This Row],[Orders]],0)</f>
        <v>2642.6666666666665</v>
      </c>
      <c r="X174" s="15">
        <f>(Table1[[#This Row],[Revenue]]-Table1[[#This Row],[Market_Budget]])/Table1[[#This Row],[Market_Budget]]</f>
        <v>0.88483854692230068</v>
      </c>
      <c r="Y174" s="5">
        <f>Table1[[#This Row],[Revenue]]-Table1[[#This Row],[Market_Budget]]</f>
        <v>28060</v>
      </c>
    </row>
    <row r="175" spans="1:25" x14ac:dyDescent="0.35">
      <c r="A175">
        <v>544756</v>
      </c>
      <c r="B175" s="1">
        <v>44243</v>
      </c>
      <c r="C175" s="1" t="str">
        <f>TEXT(Table1[[#This Row],[Date]],"dddd")</f>
        <v>Tuesday</v>
      </c>
      <c r="D175" s="1" t="str">
        <f>IF(WEEKDAY(Table1[[#This Row],[Date]],2)&gt;5,"Weekend","Weekday")</f>
        <v>Weekday</v>
      </c>
      <c r="E175" t="s">
        <v>44</v>
      </c>
      <c r="F175" t="str">
        <f>_xlfn.TEXTAFTER(Table1[[#This Row],[Campaign_Name]],"_")</f>
        <v>Lal</v>
      </c>
      <c r="G175" t="str">
        <f>IF(ISNUMBER(SEARCH("Tier1",Table1[[#This Row],[Campaign_Name]])),"Tier1",IF(ISNUMBER(SEARCH("Tier2",Table1[[#This Row],[Campaign_Name]])),"Tier2","Not Applicable"))</f>
        <v>Not Applicable</v>
      </c>
      <c r="H175" t="s">
        <v>61</v>
      </c>
      <c r="I175" s="3">
        <v>345629</v>
      </c>
      <c r="J175" s="7">
        <v>1576818</v>
      </c>
      <c r="K175" s="7">
        <v>9597</v>
      </c>
      <c r="L175" s="7">
        <v>292</v>
      </c>
      <c r="M175" s="7">
        <v>39</v>
      </c>
      <c r="N175" s="2">
        <v>25857</v>
      </c>
      <c r="O175" s="6">
        <f>Table1[[#This Row],[Clicks]]/Table1[[#This Row],[Impressions]]</f>
        <v>6.086307994962006E-3</v>
      </c>
      <c r="P175" s="6">
        <f>Table1[[#This Row],[Leads]]/Table1[[#This Row],[Clicks]]</f>
        <v>3.0426174846306137E-2</v>
      </c>
      <c r="Q175" s="6" t="str">
        <f>IF(Table1[[#This Row],[Conversion1]]&gt;=2%,"High","Low")</f>
        <v>High</v>
      </c>
      <c r="R175" s="6">
        <f>IFERROR(Table1[[#This Row],[Orders]]/Table1[[#This Row],[Leads]],0)</f>
        <v>0.13356164383561644</v>
      </c>
      <c r="S175" s="6" t="str">
        <f>IF(Table1[[#This Row],[Conversion2]]&gt;=15%,"High","Low")</f>
        <v>Low</v>
      </c>
      <c r="T175" s="4">
        <f>IFERROR(Table1[[#This Row],[Revenue]]/Table1[[#This Row],[Orders]],0)</f>
        <v>663</v>
      </c>
      <c r="U175" s="4">
        <f>Table1[[#This Row],[Market_Budget]]/Table1[[#This Row],[Clicks]]</f>
        <v>36.014275294362825</v>
      </c>
      <c r="V175" s="4">
        <f>IFERROR(Table1[[#This Row],[Market_Budget]]/Table1[[#This Row],[Leads]],0)</f>
        <v>1183.6609589041095</v>
      </c>
      <c r="W175" s="4">
        <f>IFERROR(Table1[[#This Row],[Market_Budget]]/Table1[[#This Row],[Orders]],0)</f>
        <v>8862.2820512820508</v>
      </c>
      <c r="X175" s="15">
        <f>(Table1[[#This Row],[Revenue]]-Table1[[#This Row],[Market_Budget]])/Table1[[#This Row],[Market_Budget]]</f>
        <v>-0.92518856924621484</v>
      </c>
      <c r="Y175" s="5">
        <f>Table1[[#This Row],[Revenue]]-Table1[[#This Row],[Market_Budget]]</f>
        <v>-319772</v>
      </c>
    </row>
    <row r="176" spans="1:25" x14ac:dyDescent="0.35">
      <c r="A176">
        <v>374754</v>
      </c>
      <c r="B176" s="1">
        <v>44243</v>
      </c>
      <c r="C176" s="1" t="str">
        <f>TEXT(Table1[[#This Row],[Date]],"dddd")</f>
        <v>Tuesday</v>
      </c>
      <c r="D176" s="1" t="str">
        <f>IF(WEEKDAY(Table1[[#This Row],[Date]],2)&gt;5,"Weekend","Weekday")</f>
        <v>Weekday</v>
      </c>
      <c r="E176" t="s">
        <v>45</v>
      </c>
      <c r="F176" t="str">
        <f>_xlfn.TEXTAFTER(Table1[[#This Row],[Campaign_Name]],"_")</f>
        <v>Blogger</v>
      </c>
      <c r="G176" t="str">
        <f>IF(ISNUMBER(SEARCH("Tier1",Table1[[#This Row],[Campaign_Name]])),"Tier1",IF(ISNUMBER(SEARCH("Tier2",Table1[[#This Row],[Campaign_Name]])),"Tier2","Not Applicable"))</f>
        <v>Not Applicable</v>
      </c>
      <c r="H176" t="s">
        <v>48</v>
      </c>
      <c r="I176" s="3">
        <v>620903</v>
      </c>
      <c r="J176" s="7">
        <v>3937010</v>
      </c>
      <c r="K176" s="7">
        <v>23994</v>
      </c>
      <c r="L176" s="7">
        <v>833</v>
      </c>
      <c r="M176" s="7">
        <v>160</v>
      </c>
      <c r="N176" s="2">
        <v>939360</v>
      </c>
      <c r="O176" s="6">
        <f>Table1[[#This Row],[Clicks]]/Table1[[#This Row],[Impressions]]</f>
        <v>6.0944727089847373E-3</v>
      </c>
      <c r="P176" s="6">
        <f>Table1[[#This Row],[Leads]]/Table1[[#This Row],[Clicks]]</f>
        <v>3.4717012586479953E-2</v>
      </c>
      <c r="Q176" s="6" t="str">
        <f>IF(Table1[[#This Row],[Conversion1]]&gt;=2%,"High","Low")</f>
        <v>High</v>
      </c>
      <c r="R176" s="6">
        <f>IFERROR(Table1[[#This Row],[Orders]]/Table1[[#This Row],[Leads]],0)</f>
        <v>0.19207683073229292</v>
      </c>
      <c r="S176" s="6" t="str">
        <f>IF(Table1[[#This Row],[Conversion2]]&gt;=15%,"High","Low")</f>
        <v>High</v>
      </c>
      <c r="T176" s="4">
        <f>IFERROR(Table1[[#This Row],[Revenue]]/Table1[[#This Row],[Orders]],0)</f>
        <v>5871</v>
      </c>
      <c r="U176" s="4">
        <f>Table1[[#This Row],[Market_Budget]]/Table1[[#This Row],[Clicks]]</f>
        <v>25.877427690255896</v>
      </c>
      <c r="V176" s="4">
        <f>IFERROR(Table1[[#This Row],[Market_Budget]]/Table1[[#This Row],[Leads]],0)</f>
        <v>745.38175270108047</v>
      </c>
      <c r="W176" s="4">
        <f>IFERROR(Table1[[#This Row],[Market_Budget]]/Table1[[#This Row],[Orders]],0)</f>
        <v>3880.6437500000002</v>
      </c>
      <c r="X176" s="15">
        <f>(Table1[[#This Row],[Revenue]]-Table1[[#This Row],[Market_Budget]])/Table1[[#This Row],[Market_Budget]]</f>
        <v>0.51289331827998896</v>
      </c>
      <c r="Y176" s="5">
        <f>Table1[[#This Row],[Revenue]]-Table1[[#This Row],[Market_Budget]]</f>
        <v>318457</v>
      </c>
    </row>
    <row r="177" spans="1:25" x14ac:dyDescent="0.35">
      <c r="A177">
        <v>39889</v>
      </c>
      <c r="B177" s="1">
        <v>44243</v>
      </c>
      <c r="C177" s="1" t="str">
        <f>TEXT(Table1[[#This Row],[Date]],"dddd")</f>
        <v>Tuesday</v>
      </c>
      <c r="D177" s="1" t="str">
        <f>IF(WEEKDAY(Table1[[#This Row],[Date]],2)&gt;5,"Weekend","Weekday")</f>
        <v>Weekday</v>
      </c>
      <c r="E177" t="s">
        <v>46</v>
      </c>
      <c r="F177" t="str">
        <f>_xlfn.TEXTAFTER(Table1[[#This Row],[Campaign_Name]],"_")</f>
        <v>Partner</v>
      </c>
      <c r="G177" t="str">
        <f>IF(ISNUMBER(SEARCH("Tier1",Table1[[#This Row],[Campaign_Name]])),"Tier1",IF(ISNUMBER(SEARCH("Tier2",Table1[[#This Row],[Campaign_Name]])),"Tier2","Not Applicable"))</f>
        <v>Not Applicable</v>
      </c>
      <c r="H177" t="s">
        <v>62</v>
      </c>
      <c r="I177" s="3">
        <v>206424</v>
      </c>
      <c r="J177" s="7">
        <v>56876855</v>
      </c>
      <c r="K177" s="7">
        <v>33592</v>
      </c>
      <c r="L177" s="7">
        <v>416</v>
      </c>
      <c r="M177" s="7">
        <v>62</v>
      </c>
      <c r="N177" s="2">
        <v>246822</v>
      </c>
      <c r="O177" s="6">
        <f>Table1[[#This Row],[Clicks]]/Table1[[#This Row],[Impressions]]</f>
        <v>5.9060930847881798E-4</v>
      </c>
      <c r="P177" s="6">
        <f>Table1[[#This Row],[Leads]]/Table1[[#This Row],[Clicks]]</f>
        <v>1.238390092879257E-2</v>
      </c>
      <c r="Q177" s="6" t="str">
        <f>IF(Table1[[#This Row],[Conversion1]]&gt;=2%,"High","Low")</f>
        <v>Low</v>
      </c>
      <c r="R177" s="6">
        <f>IFERROR(Table1[[#This Row],[Orders]]/Table1[[#This Row],[Leads]],0)</f>
        <v>0.14903846153846154</v>
      </c>
      <c r="S177" s="6" t="str">
        <f>IF(Table1[[#This Row],[Conversion2]]&gt;=15%,"High","Low")</f>
        <v>Low</v>
      </c>
      <c r="T177" s="4">
        <f>IFERROR(Table1[[#This Row],[Revenue]]/Table1[[#This Row],[Orders]],0)</f>
        <v>3981</v>
      </c>
      <c r="U177" s="4">
        <f>Table1[[#This Row],[Market_Budget]]/Table1[[#This Row],[Clicks]]</f>
        <v>6.1450345320314357</v>
      </c>
      <c r="V177" s="4">
        <f>IFERROR(Table1[[#This Row],[Market_Budget]]/Table1[[#This Row],[Leads]],0)</f>
        <v>496.21153846153845</v>
      </c>
      <c r="W177" s="4">
        <f>IFERROR(Table1[[#This Row],[Market_Budget]]/Table1[[#This Row],[Orders]],0)</f>
        <v>3329.4193548387098</v>
      </c>
      <c r="X177" s="15">
        <f>(Table1[[#This Row],[Revenue]]-Table1[[#This Row],[Market_Budget]])/Table1[[#This Row],[Market_Budget]]</f>
        <v>0.19570398790838275</v>
      </c>
      <c r="Y177" s="5">
        <f>Table1[[#This Row],[Revenue]]-Table1[[#This Row],[Market_Budget]]</f>
        <v>40398</v>
      </c>
    </row>
    <row r="178" spans="1:25" x14ac:dyDescent="0.35">
      <c r="A178">
        <v>349043</v>
      </c>
      <c r="B178" s="1">
        <v>44244</v>
      </c>
      <c r="C178" s="1" t="str">
        <f>TEXT(Table1[[#This Row],[Date]],"dddd")</f>
        <v>Wednesday</v>
      </c>
      <c r="D178" s="1" t="str">
        <f>IF(WEEKDAY(Table1[[#This Row],[Date]],2)&gt;5,"Weekend","Weekday")</f>
        <v>Weekday</v>
      </c>
      <c r="E178" t="s">
        <v>36</v>
      </c>
      <c r="F178" t="str">
        <f>_xlfn.TEXTAFTER(Table1[[#This Row],[Campaign_Name]],"_")</f>
        <v>Tier1</v>
      </c>
      <c r="G178" t="str">
        <f>IF(ISNUMBER(SEARCH("Tier1",Table1[[#This Row],[Campaign_Name]])),"Tier1",IF(ISNUMBER(SEARCH("Tier2",Table1[[#This Row],[Campaign_Name]])),"Tier2","Not Applicable"))</f>
        <v>Tier1</v>
      </c>
      <c r="H178" t="s">
        <v>61</v>
      </c>
      <c r="I178" s="3">
        <v>489831</v>
      </c>
      <c r="J178" s="7">
        <v>4320600</v>
      </c>
      <c r="K178" s="7">
        <v>21603</v>
      </c>
      <c r="L178" s="7">
        <v>652</v>
      </c>
      <c r="M178" s="7">
        <v>86</v>
      </c>
      <c r="N178" s="2">
        <v>428366</v>
      </c>
      <c r="O178" s="6">
        <f>Table1[[#This Row],[Clicks]]/Table1[[#This Row],[Impressions]]</f>
        <v>5.0000000000000001E-3</v>
      </c>
      <c r="P178" s="6">
        <f>Table1[[#This Row],[Leads]]/Table1[[#This Row],[Clicks]]</f>
        <v>3.0180993380548998E-2</v>
      </c>
      <c r="Q178" s="6" t="str">
        <f>IF(Table1[[#This Row],[Conversion1]]&gt;=2%,"High","Low")</f>
        <v>High</v>
      </c>
      <c r="R178" s="6">
        <f>IFERROR(Table1[[#This Row],[Orders]]/Table1[[#This Row],[Leads]],0)</f>
        <v>0.13190184049079753</v>
      </c>
      <c r="S178" s="6" t="str">
        <f>IF(Table1[[#This Row],[Conversion2]]&gt;=15%,"High","Low")</f>
        <v>Low</v>
      </c>
      <c r="T178" s="4">
        <f>IFERROR(Table1[[#This Row],[Revenue]]/Table1[[#This Row],[Orders]],0)</f>
        <v>4981</v>
      </c>
      <c r="U178" s="4">
        <f>Table1[[#This Row],[Market_Budget]]/Table1[[#This Row],[Clicks]]</f>
        <v>22.674211915011803</v>
      </c>
      <c r="V178" s="4">
        <f>IFERROR(Table1[[#This Row],[Market_Budget]]/Table1[[#This Row],[Leads]],0)</f>
        <v>751.27453987730064</v>
      </c>
      <c r="W178" s="4">
        <f>IFERROR(Table1[[#This Row],[Market_Budget]]/Table1[[#This Row],[Orders]],0)</f>
        <v>5695.7093023255811</v>
      </c>
      <c r="X178" s="15">
        <f>(Table1[[#This Row],[Revenue]]-Table1[[#This Row],[Market_Budget]])/Table1[[#This Row],[Market_Budget]]</f>
        <v>-0.12548205401454787</v>
      </c>
      <c r="Y178" s="5">
        <f>Table1[[#This Row],[Revenue]]-Table1[[#This Row],[Market_Budget]]</f>
        <v>-61465</v>
      </c>
    </row>
    <row r="179" spans="1:25" x14ac:dyDescent="0.35">
      <c r="A179">
        <v>348934</v>
      </c>
      <c r="B179" s="1">
        <v>44244</v>
      </c>
      <c r="C179" s="1" t="str">
        <f>TEXT(Table1[[#This Row],[Date]],"dddd")</f>
        <v>Wednesday</v>
      </c>
      <c r="D179" s="1" t="str">
        <f>IF(WEEKDAY(Table1[[#This Row],[Date]],2)&gt;5,"Weekend","Weekday")</f>
        <v>Weekday</v>
      </c>
      <c r="E179" t="s">
        <v>37</v>
      </c>
      <c r="F179" t="str">
        <f>_xlfn.TEXTAFTER(Table1[[#This Row],[Campaign_Name]],"_")</f>
        <v>Tier2</v>
      </c>
      <c r="G179" t="str">
        <f>IF(ISNUMBER(SEARCH("Tier1",Table1[[#This Row],[Campaign_Name]])),"Tier1",IF(ISNUMBER(SEARCH("Tier2",Table1[[#This Row],[Campaign_Name]])),"Tier2","Not Applicable"))</f>
        <v>Tier2</v>
      </c>
      <c r="H179" t="s">
        <v>61</v>
      </c>
      <c r="I179" s="3">
        <v>403691</v>
      </c>
      <c r="J179" s="7">
        <v>6102420</v>
      </c>
      <c r="K179" s="7">
        <v>29704</v>
      </c>
      <c r="L179" s="7">
        <v>594</v>
      </c>
      <c r="M179" s="7">
        <v>61</v>
      </c>
      <c r="N179" s="2">
        <v>303841</v>
      </c>
      <c r="O179" s="6">
        <f>Table1[[#This Row],[Clicks]]/Table1[[#This Row],[Impressions]]</f>
        <v>4.8675771251405183E-3</v>
      </c>
      <c r="P179" s="6">
        <f>Table1[[#This Row],[Leads]]/Table1[[#This Row],[Clicks]]</f>
        <v>1.9997306760032318E-2</v>
      </c>
      <c r="Q179" s="6" t="str">
        <f>IF(Table1[[#This Row],[Conversion1]]&gt;=2%,"High","Low")</f>
        <v>Low</v>
      </c>
      <c r="R179" s="6">
        <f>IFERROR(Table1[[#This Row],[Orders]]/Table1[[#This Row],[Leads]],0)</f>
        <v>0.1026936026936027</v>
      </c>
      <c r="S179" s="6" t="str">
        <f>IF(Table1[[#This Row],[Conversion2]]&gt;=15%,"High","Low")</f>
        <v>Low</v>
      </c>
      <c r="T179" s="4">
        <f>IFERROR(Table1[[#This Row],[Revenue]]/Table1[[#This Row],[Orders]],0)</f>
        <v>4981</v>
      </c>
      <c r="U179" s="4">
        <f>Table1[[#This Row],[Market_Budget]]/Table1[[#This Row],[Clicks]]</f>
        <v>13.590459197414489</v>
      </c>
      <c r="V179" s="4">
        <f>IFERROR(Table1[[#This Row],[Market_Budget]]/Table1[[#This Row],[Leads]],0)</f>
        <v>679.61447811447806</v>
      </c>
      <c r="W179" s="4">
        <f>IFERROR(Table1[[#This Row],[Market_Budget]]/Table1[[#This Row],[Orders]],0)</f>
        <v>6617.8852459016398</v>
      </c>
      <c r="X179" s="15">
        <f>(Table1[[#This Row],[Revenue]]-Table1[[#This Row],[Market_Budget]])/Table1[[#This Row],[Market_Budget]]</f>
        <v>-0.24734264573646675</v>
      </c>
      <c r="Y179" s="5">
        <f>Table1[[#This Row],[Revenue]]-Table1[[#This Row],[Market_Budget]]</f>
        <v>-99850</v>
      </c>
    </row>
    <row r="180" spans="1:25" x14ac:dyDescent="0.35">
      <c r="A180">
        <v>89459845</v>
      </c>
      <c r="B180" s="1">
        <v>44244</v>
      </c>
      <c r="C180" s="1" t="str">
        <f>TEXT(Table1[[#This Row],[Date]],"dddd")</f>
        <v>Wednesday</v>
      </c>
      <c r="D180" s="1" t="str">
        <f>IF(WEEKDAY(Table1[[#This Row],[Date]],2)&gt;5,"Weekend","Weekday")</f>
        <v>Weekday</v>
      </c>
      <c r="E180" t="s">
        <v>38</v>
      </c>
      <c r="F180" t="str">
        <f>_xlfn.TEXTAFTER(Table1[[#This Row],[Campaign_Name]],"_")</f>
        <v>Hot</v>
      </c>
      <c r="G180" t="str">
        <f>IF(ISNUMBER(SEARCH("Tier1",Table1[[#This Row],[Campaign_Name]])),"Tier1",IF(ISNUMBER(SEARCH("Tier2",Table1[[#This Row],[Campaign_Name]])),"Tier2","Not Applicable"))</f>
        <v>Not Applicable</v>
      </c>
      <c r="H180" t="s">
        <v>47</v>
      </c>
      <c r="I180" s="3">
        <v>116213</v>
      </c>
      <c r="J180" s="7">
        <v>490058</v>
      </c>
      <c r="K180" s="7">
        <v>8104</v>
      </c>
      <c r="L180" s="7">
        <v>162</v>
      </c>
      <c r="M180" s="7">
        <v>31</v>
      </c>
      <c r="N180" s="2">
        <v>227726</v>
      </c>
      <c r="O180" s="6">
        <f>Table1[[#This Row],[Clicks]]/Table1[[#This Row],[Impressions]]</f>
        <v>1.653681809091985E-2</v>
      </c>
      <c r="P180" s="6">
        <f>Table1[[#This Row],[Leads]]/Table1[[#This Row],[Clicks]]</f>
        <v>1.9990128331688055E-2</v>
      </c>
      <c r="Q180" s="6" t="str">
        <f>IF(Table1[[#This Row],[Conversion1]]&gt;=2%,"High","Low")</f>
        <v>Low</v>
      </c>
      <c r="R180" s="6">
        <f>IFERROR(Table1[[#This Row],[Orders]]/Table1[[#This Row],[Leads]],0)</f>
        <v>0.19135802469135801</v>
      </c>
      <c r="S180" s="6" t="str">
        <f>IF(Table1[[#This Row],[Conversion2]]&gt;=15%,"High","Low")</f>
        <v>High</v>
      </c>
      <c r="T180" s="4">
        <f>IFERROR(Table1[[#This Row],[Revenue]]/Table1[[#This Row],[Orders]],0)</f>
        <v>7346</v>
      </c>
      <c r="U180" s="4">
        <f>Table1[[#This Row],[Market_Budget]]/Table1[[#This Row],[Clicks]]</f>
        <v>14.340202369200394</v>
      </c>
      <c r="V180" s="4">
        <f>IFERROR(Table1[[#This Row],[Market_Budget]]/Table1[[#This Row],[Leads]],0)</f>
        <v>717.3641975308642</v>
      </c>
      <c r="W180" s="4">
        <f>IFERROR(Table1[[#This Row],[Market_Budget]]/Table1[[#This Row],[Orders]],0)</f>
        <v>3748.8064516129034</v>
      </c>
      <c r="X180" s="15">
        <f>(Table1[[#This Row],[Revenue]]-Table1[[#This Row],[Market_Budget]])/Table1[[#This Row],[Market_Budget]]</f>
        <v>0.95955702029893386</v>
      </c>
      <c r="Y180" s="5">
        <f>Table1[[#This Row],[Revenue]]-Table1[[#This Row],[Market_Budget]]</f>
        <v>111513</v>
      </c>
    </row>
    <row r="181" spans="1:25" x14ac:dyDescent="0.35">
      <c r="A181">
        <v>127823</v>
      </c>
      <c r="B181" s="1">
        <v>44244</v>
      </c>
      <c r="C181" s="1" t="str">
        <f>TEXT(Table1[[#This Row],[Date]],"dddd")</f>
        <v>Wednesday</v>
      </c>
      <c r="D181" s="1" t="str">
        <f>IF(WEEKDAY(Table1[[#This Row],[Date]],2)&gt;5,"Weekend","Weekday")</f>
        <v>Weekday</v>
      </c>
      <c r="E181" t="s">
        <v>39</v>
      </c>
      <c r="F181" t="str">
        <f>_xlfn.TEXTAFTER(Table1[[#This Row],[Campaign_Name]],"_")</f>
        <v>Wide</v>
      </c>
      <c r="G181" t="str">
        <f>IF(ISNUMBER(SEARCH("Tier1",Table1[[#This Row],[Campaign_Name]])),"Tier1",IF(ISNUMBER(SEARCH("Tier2",Table1[[#This Row],[Campaign_Name]])),"Tier2","Not Applicable"))</f>
        <v>Not Applicable</v>
      </c>
      <c r="H181" t="s">
        <v>47</v>
      </c>
      <c r="I181" s="3">
        <v>180223</v>
      </c>
      <c r="J181" s="7">
        <v>4319200</v>
      </c>
      <c r="K181" s="7">
        <v>21596</v>
      </c>
      <c r="L181" s="7">
        <v>442</v>
      </c>
      <c r="M181" s="7">
        <v>44</v>
      </c>
      <c r="N181" s="2">
        <v>136708</v>
      </c>
      <c r="O181" s="6">
        <f>Table1[[#This Row],[Clicks]]/Table1[[#This Row],[Impressions]]</f>
        <v>5.0000000000000001E-3</v>
      </c>
      <c r="P181" s="6">
        <f>Table1[[#This Row],[Leads]]/Table1[[#This Row],[Clicks]]</f>
        <v>2.0466753102426374E-2</v>
      </c>
      <c r="Q181" s="6" t="str">
        <f>IF(Table1[[#This Row],[Conversion1]]&gt;=2%,"High","Low")</f>
        <v>High</v>
      </c>
      <c r="R181" s="6">
        <f>IFERROR(Table1[[#This Row],[Orders]]/Table1[[#This Row],[Leads]],0)</f>
        <v>9.9547511312217188E-2</v>
      </c>
      <c r="S181" s="6" t="str">
        <f>IF(Table1[[#This Row],[Conversion2]]&gt;=15%,"High","Low")</f>
        <v>Low</v>
      </c>
      <c r="T181" s="4">
        <f>IFERROR(Table1[[#This Row],[Revenue]]/Table1[[#This Row],[Orders]],0)</f>
        <v>3107</v>
      </c>
      <c r="U181" s="4">
        <f>Table1[[#This Row],[Market_Budget]]/Table1[[#This Row],[Clicks]]</f>
        <v>8.3452028153361741</v>
      </c>
      <c r="V181" s="4">
        <f>IFERROR(Table1[[#This Row],[Market_Budget]]/Table1[[#This Row],[Leads]],0)</f>
        <v>407.74434389140271</v>
      </c>
      <c r="W181" s="4">
        <f>IFERROR(Table1[[#This Row],[Market_Budget]]/Table1[[#This Row],[Orders]],0)</f>
        <v>4095.9772727272725</v>
      </c>
      <c r="X181" s="15">
        <f>(Table1[[#This Row],[Revenue]]-Table1[[#This Row],[Market_Budget]])/Table1[[#This Row],[Market_Budget]]</f>
        <v>-0.24145086920093439</v>
      </c>
      <c r="Y181" s="5">
        <f>Table1[[#This Row],[Revenue]]-Table1[[#This Row],[Market_Budget]]</f>
        <v>-43515</v>
      </c>
    </row>
    <row r="182" spans="1:25" x14ac:dyDescent="0.35">
      <c r="A182">
        <v>10934</v>
      </c>
      <c r="B182" s="1">
        <v>44244</v>
      </c>
      <c r="C182" s="1" t="str">
        <f>TEXT(Table1[[#This Row],[Date]],"dddd")</f>
        <v>Wednesday</v>
      </c>
      <c r="D182" s="1" t="str">
        <f>IF(WEEKDAY(Table1[[#This Row],[Date]],2)&gt;5,"Weekend","Weekday")</f>
        <v>Weekday</v>
      </c>
      <c r="E182" t="s">
        <v>40</v>
      </c>
      <c r="F182" t="str">
        <f>_xlfn.TEXTAFTER(Table1[[#This Row],[Campaign_Name]],"_")</f>
        <v>Blogger</v>
      </c>
      <c r="G182" t="str">
        <f>IF(ISNUMBER(SEARCH("Tier1",Table1[[#This Row],[Campaign_Name]])),"Tier1",IF(ISNUMBER(SEARCH("Tier2",Table1[[#This Row],[Campaign_Name]])),"Tier2","Not Applicable"))</f>
        <v>Not Applicable</v>
      </c>
      <c r="H182" t="s">
        <v>48</v>
      </c>
      <c r="I182" s="3">
        <v>363811</v>
      </c>
      <c r="J182" s="7">
        <v>4049400</v>
      </c>
      <c r="K182" s="7">
        <v>40494</v>
      </c>
      <c r="L182" s="7">
        <v>746</v>
      </c>
      <c r="M182" s="7">
        <v>149</v>
      </c>
      <c r="N182" s="2">
        <v>1189170</v>
      </c>
      <c r="O182" s="6">
        <f>Table1[[#This Row],[Clicks]]/Table1[[#This Row],[Impressions]]</f>
        <v>0.01</v>
      </c>
      <c r="P182" s="6">
        <f>Table1[[#This Row],[Leads]]/Table1[[#This Row],[Clicks]]</f>
        <v>1.8422482343063169E-2</v>
      </c>
      <c r="Q182" s="6" t="str">
        <f>IF(Table1[[#This Row],[Conversion1]]&gt;=2%,"High","Low")</f>
        <v>Low</v>
      </c>
      <c r="R182" s="6">
        <f>IFERROR(Table1[[#This Row],[Orders]]/Table1[[#This Row],[Leads]],0)</f>
        <v>0.19973190348525469</v>
      </c>
      <c r="S182" s="6" t="str">
        <f>IF(Table1[[#This Row],[Conversion2]]&gt;=15%,"High","Low")</f>
        <v>High</v>
      </c>
      <c r="T182" s="4">
        <f>IFERROR(Table1[[#This Row],[Revenue]]/Table1[[#This Row],[Orders]],0)</f>
        <v>7981.0067114093963</v>
      </c>
      <c r="U182" s="4">
        <f>Table1[[#This Row],[Market_Budget]]/Table1[[#This Row],[Clicks]]</f>
        <v>8.9843186644935056</v>
      </c>
      <c r="V182" s="4">
        <f>IFERROR(Table1[[#This Row],[Market_Budget]]/Table1[[#This Row],[Leads]],0)</f>
        <v>487.6823056300268</v>
      </c>
      <c r="W182" s="4">
        <f>IFERROR(Table1[[#This Row],[Market_Budget]]/Table1[[#This Row],[Orders]],0)</f>
        <v>2441.6845637583892</v>
      </c>
      <c r="X182" s="15">
        <f>(Table1[[#This Row],[Revenue]]-Table1[[#This Row],[Market_Budget]])/Table1[[#This Row],[Market_Budget]]</f>
        <v>2.268647731926742</v>
      </c>
      <c r="Y182" s="5">
        <f>Table1[[#This Row],[Revenue]]-Table1[[#This Row],[Market_Budget]]</f>
        <v>825359</v>
      </c>
    </row>
    <row r="183" spans="1:25" x14ac:dyDescent="0.35">
      <c r="A183">
        <v>9034945</v>
      </c>
      <c r="B183" s="1">
        <v>44244</v>
      </c>
      <c r="C183" s="1" t="str">
        <f>TEXT(Table1[[#This Row],[Date]],"dddd")</f>
        <v>Wednesday</v>
      </c>
      <c r="D183" s="1" t="str">
        <f>IF(WEEKDAY(Table1[[#This Row],[Date]],2)&gt;5,"Weekend","Weekday")</f>
        <v>Weekday</v>
      </c>
      <c r="E183" t="s">
        <v>41</v>
      </c>
      <c r="F183" t="str">
        <f>_xlfn.TEXTAFTER(Table1[[#This Row],[Campaign_Name]],"_")</f>
        <v>Tier1</v>
      </c>
      <c r="G183" t="str">
        <f>IF(ISNUMBER(SEARCH("Tier1",Table1[[#This Row],[Campaign_Name]])),"Tier1",IF(ISNUMBER(SEARCH("Tier2",Table1[[#This Row],[Campaign_Name]])),"Tier2","Not Applicable"))</f>
        <v>Tier1</v>
      </c>
      <c r="H183" t="s">
        <v>61</v>
      </c>
      <c r="I183" s="3">
        <v>246023</v>
      </c>
      <c r="J183" s="7">
        <v>4999407</v>
      </c>
      <c r="K183" s="7">
        <v>24294</v>
      </c>
      <c r="L183" s="7">
        <v>606</v>
      </c>
      <c r="M183" s="7">
        <v>73</v>
      </c>
      <c r="N183" s="2">
        <v>496546</v>
      </c>
      <c r="O183" s="6">
        <f>Table1[[#This Row],[Clicks]]/Table1[[#This Row],[Impressions]]</f>
        <v>4.859376322031793E-3</v>
      </c>
      <c r="P183" s="6">
        <f>Table1[[#This Row],[Leads]]/Table1[[#This Row],[Clicks]]</f>
        <v>2.4944430723635464E-2</v>
      </c>
      <c r="Q183" s="6" t="str">
        <f>IF(Table1[[#This Row],[Conversion1]]&gt;=2%,"High","Low")</f>
        <v>High</v>
      </c>
      <c r="R183" s="6">
        <f>IFERROR(Table1[[#This Row],[Orders]]/Table1[[#This Row],[Leads]],0)</f>
        <v>0.12046204620462046</v>
      </c>
      <c r="S183" s="6" t="str">
        <f>IF(Table1[[#This Row],[Conversion2]]&gt;=15%,"High","Low")</f>
        <v>Low</v>
      </c>
      <c r="T183" s="4">
        <f>IFERROR(Table1[[#This Row],[Revenue]]/Table1[[#This Row],[Orders]],0)</f>
        <v>6802</v>
      </c>
      <c r="U183" s="4">
        <f>Table1[[#This Row],[Market_Budget]]/Table1[[#This Row],[Clicks]]</f>
        <v>10.126903762245822</v>
      </c>
      <c r="V183" s="4">
        <f>IFERROR(Table1[[#This Row],[Market_Budget]]/Table1[[#This Row],[Leads]],0)</f>
        <v>405.97854785478546</v>
      </c>
      <c r="W183" s="4">
        <f>IFERROR(Table1[[#This Row],[Market_Budget]]/Table1[[#This Row],[Orders]],0)</f>
        <v>3370.178082191781</v>
      </c>
      <c r="X183" s="15">
        <f>(Table1[[#This Row],[Revenue]]-Table1[[#This Row],[Market_Budget]])/Table1[[#This Row],[Market_Budget]]</f>
        <v>1.0182909727952265</v>
      </c>
      <c r="Y183" s="5">
        <f>Table1[[#This Row],[Revenue]]-Table1[[#This Row],[Market_Budget]]</f>
        <v>250523</v>
      </c>
    </row>
    <row r="184" spans="1:25" x14ac:dyDescent="0.35">
      <c r="A184">
        <v>983498</v>
      </c>
      <c r="B184" s="1">
        <v>44244</v>
      </c>
      <c r="C184" s="1" t="str">
        <f>TEXT(Table1[[#This Row],[Date]],"dddd")</f>
        <v>Wednesday</v>
      </c>
      <c r="D184" s="1" t="str">
        <f>IF(WEEKDAY(Table1[[#This Row],[Date]],2)&gt;5,"Weekend","Weekday")</f>
        <v>Weekday</v>
      </c>
      <c r="E184" t="s">
        <v>42</v>
      </c>
      <c r="F184" t="str">
        <f>_xlfn.TEXTAFTER(Table1[[#This Row],[Campaign_Name]],"_")</f>
        <v>Tier2</v>
      </c>
      <c r="G184" t="str">
        <f>IF(ISNUMBER(SEARCH("Tier1",Table1[[#This Row],[Campaign_Name]])),"Tier1",IF(ISNUMBER(SEARCH("Tier2",Table1[[#This Row],[Campaign_Name]])),"Tier2","Not Applicable"))</f>
        <v>Tier2</v>
      </c>
      <c r="H184" t="s">
        <v>61</v>
      </c>
      <c r="I184" s="3">
        <v>162819</v>
      </c>
      <c r="J184" s="7">
        <v>32964848</v>
      </c>
      <c r="K184" s="7">
        <v>45907</v>
      </c>
      <c r="L184" s="7">
        <v>974</v>
      </c>
      <c r="M184" s="7">
        <v>46</v>
      </c>
      <c r="N184" s="2">
        <v>121900</v>
      </c>
      <c r="O184" s="6">
        <f>Table1[[#This Row],[Clicks]]/Table1[[#This Row],[Impressions]]</f>
        <v>1.3926046314546938E-3</v>
      </c>
      <c r="P184" s="6">
        <f>Table1[[#This Row],[Leads]]/Table1[[#This Row],[Clicks]]</f>
        <v>2.1216807894220924E-2</v>
      </c>
      <c r="Q184" s="6" t="str">
        <f>IF(Table1[[#This Row],[Conversion1]]&gt;=2%,"High","Low")</f>
        <v>High</v>
      </c>
      <c r="R184" s="6">
        <f>IFERROR(Table1[[#This Row],[Orders]]/Table1[[#This Row],[Leads]],0)</f>
        <v>4.7227926078028747E-2</v>
      </c>
      <c r="S184" s="6" t="str">
        <f>IF(Table1[[#This Row],[Conversion2]]&gt;=15%,"High","Low")</f>
        <v>Low</v>
      </c>
      <c r="T184" s="4">
        <f>IFERROR(Table1[[#This Row],[Revenue]]/Table1[[#This Row],[Orders]],0)</f>
        <v>2650</v>
      </c>
      <c r="U184" s="4">
        <f>Table1[[#This Row],[Market_Budget]]/Table1[[#This Row],[Clicks]]</f>
        <v>3.5467140087568345</v>
      </c>
      <c r="V184" s="4">
        <f>IFERROR(Table1[[#This Row],[Market_Budget]]/Table1[[#This Row],[Leads]],0)</f>
        <v>167.16529774127309</v>
      </c>
      <c r="W184" s="4">
        <f>IFERROR(Table1[[#This Row],[Market_Budget]]/Table1[[#This Row],[Orders]],0)</f>
        <v>3539.5434782608695</v>
      </c>
      <c r="X184" s="15">
        <f>(Table1[[#This Row],[Revenue]]-Table1[[#This Row],[Market_Budget]])/Table1[[#This Row],[Market_Budget]]</f>
        <v>-0.25131587836800373</v>
      </c>
      <c r="Y184" s="5">
        <f>Table1[[#This Row],[Revenue]]-Table1[[#This Row],[Market_Budget]]</f>
        <v>-40919</v>
      </c>
    </row>
    <row r="185" spans="1:25" x14ac:dyDescent="0.35">
      <c r="A185">
        <v>4387490</v>
      </c>
      <c r="B185" s="1">
        <v>44244</v>
      </c>
      <c r="C185" s="1" t="str">
        <f>TEXT(Table1[[#This Row],[Date]],"dddd")</f>
        <v>Wednesday</v>
      </c>
      <c r="D185" s="1" t="str">
        <f>IF(WEEKDAY(Table1[[#This Row],[Date]],2)&gt;5,"Weekend","Weekday")</f>
        <v>Weekday</v>
      </c>
      <c r="E185" t="s">
        <v>43</v>
      </c>
      <c r="F185" t="str">
        <f>_xlfn.TEXTAFTER(Table1[[#This Row],[Campaign_Name]],"_")</f>
        <v>Retargeting</v>
      </c>
      <c r="G185" t="str">
        <f>IF(ISNUMBER(SEARCH("Tier1",Table1[[#This Row],[Campaign_Name]])),"Tier1",IF(ISNUMBER(SEARCH("Tier2",Table1[[#This Row],[Campaign_Name]])),"Tier2","Not Applicable"))</f>
        <v>Not Applicable</v>
      </c>
      <c r="H185" t="s">
        <v>61</v>
      </c>
      <c r="I185" s="3">
        <v>31422.5</v>
      </c>
      <c r="J185" s="7">
        <v>84332</v>
      </c>
      <c r="K185" s="7">
        <v>2698</v>
      </c>
      <c r="L185" s="7">
        <v>54</v>
      </c>
      <c r="M185" s="7">
        <v>11</v>
      </c>
      <c r="N185" s="2">
        <v>45441</v>
      </c>
      <c r="O185" s="6">
        <f>Table1[[#This Row],[Clicks]]/Table1[[#This Row],[Impressions]]</f>
        <v>3.1992600673528437E-2</v>
      </c>
      <c r="P185" s="6">
        <f>Table1[[#This Row],[Leads]]/Table1[[#This Row],[Clicks]]</f>
        <v>2.0014825796886581E-2</v>
      </c>
      <c r="Q185" s="6" t="str">
        <f>IF(Table1[[#This Row],[Conversion1]]&gt;=2%,"High","Low")</f>
        <v>High</v>
      </c>
      <c r="R185" s="6">
        <f>IFERROR(Table1[[#This Row],[Orders]]/Table1[[#This Row],[Leads]],0)</f>
        <v>0.20370370370370369</v>
      </c>
      <c r="S185" s="6" t="str">
        <f>IF(Table1[[#This Row],[Conversion2]]&gt;=15%,"High","Low")</f>
        <v>High</v>
      </c>
      <c r="T185" s="4">
        <f>IFERROR(Table1[[#This Row],[Revenue]]/Table1[[#This Row],[Orders]],0)</f>
        <v>4131</v>
      </c>
      <c r="U185" s="4">
        <f>Table1[[#This Row],[Market_Budget]]/Table1[[#This Row],[Clicks]]</f>
        <v>11.646590066716087</v>
      </c>
      <c r="V185" s="4">
        <f>IFERROR(Table1[[#This Row],[Market_Budget]]/Table1[[#This Row],[Leads]],0)</f>
        <v>581.89814814814815</v>
      </c>
      <c r="W185" s="4">
        <f>IFERROR(Table1[[#This Row],[Market_Budget]]/Table1[[#This Row],[Orders]],0)</f>
        <v>2856.590909090909</v>
      </c>
      <c r="X185" s="15">
        <f>(Table1[[#This Row],[Revenue]]-Table1[[#This Row],[Market_Budget]])/Table1[[#This Row],[Market_Budget]]</f>
        <v>0.44612936590023072</v>
      </c>
      <c r="Y185" s="5">
        <f>Table1[[#This Row],[Revenue]]-Table1[[#This Row],[Market_Budget]]</f>
        <v>14018.5</v>
      </c>
    </row>
    <row r="186" spans="1:25" x14ac:dyDescent="0.35">
      <c r="A186">
        <v>544756</v>
      </c>
      <c r="B186" s="1">
        <v>44244</v>
      </c>
      <c r="C186" s="1" t="str">
        <f>TEXT(Table1[[#This Row],[Date]],"dddd")</f>
        <v>Wednesday</v>
      </c>
      <c r="D186" s="1" t="str">
        <f>IF(WEEKDAY(Table1[[#This Row],[Date]],2)&gt;5,"Weekend","Weekday")</f>
        <v>Weekday</v>
      </c>
      <c r="E186" t="s">
        <v>44</v>
      </c>
      <c r="F186" t="str">
        <f>_xlfn.TEXTAFTER(Table1[[#This Row],[Campaign_Name]],"_")</f>
        <v>Lal</v>
      </c>
      <c r="G186" t="str">
        <f>IF(ISNUMBER(SEARCH("Tier1",Table1[[#This Row],[Campaign_Name]])),"Tier1",IF(ISNUMBER(SEARCH("Tier2",Table1[[#This Row],[Campaign_Name]])),"Tier2","Not Applicable"))</f>
        <v>Not Applicable</v>
      </c>
      <c r="H186" t="s">
        <v>61</v>
      </c>
      <c r="I186" s="3">
        <v>291254</v>
      </c>
      <c r="J186" s="7">
        <v>1361187</v>
      </c>
      <c r="K186" s="7">
        <v>10810</v>
      </c>
      <c r="L186" s="7">
        <v>216</v>
      </c>
      <c r="M186" s="7">
        <v>32</v>
      </c>
      <c r="N186" s="2">
        <v>31392</v>
      </c>
      <c r="O186" s="6">
        <f>Table1[[#This Row],[Clicks]]/Table1[[#This Row],[Impressions]]</f>
        <v>7.9415980317179054E-3</v>
      </c>
      <c r="P186" s="6">
        <f>Table1[[#This Row],[Leads]]/Table1[[#This Row],[Clicks]]</f>
        <v>1.9981498612395929E-2</v>
      </c>
      <c r="Q186" s="6" t="str">
        <f>IF(Table1[[#This Row],[Conversion1]]&gt;=2%,"High","Low")</f>
        <v>Low</v>
      </c>
      <c r="R186" s="6">
        <f>IFERROR(Table1[[#This Row],[Orders]]/Table1[[#This Row],[Leads]],0)</f>
        <v>0.14814814814814814</v>
      </c>
      <c r="S186" s="6" t="str">
        <f>IF(Table1[[#This Row],[Conversion2]]&gt;=15%,"High","Low")</f>
        <v>Low</v>
      </c>
      <c r="T186" s="4">
        <f>IFERROR(Table1[[#This Row],[Revenue]]/Table1[[#This Row],[Orders]],0)</f>
        <v>981</v>
      </c>
      <c r="U186" s="4">
        <f>Table1[[#This Row],[Market_Budget]]/Table1[[#This Row],[Clicks]]</f>
        <v>26.943015726179464</v>
      </c>
      <c r="V186" s="4">
        <f>IFERROR(Table1[[#This Row],[Market_Budget]]/Table1[[#This Row],[Leads]],0)</f>
        <v>1348.398148148148</v>
      </c>
      <c r="W186" s="4">
        <f>IFERROR(Table1[[#This Row],[Market_Budget]]/Table1[[#This Row],[Orders]],0)</f>
        <v>9101.6875</v>
      </c>
      <c r="X186" s="15">
        <f>(Table1[[#This Row],[Revenue]]-Table1[[#This Row],[Market_Budget]])/Table1[[#This Row],[Market_Budget]]</f>
        <v>-0.89221778928358064</v>
      </c>
      <c r="Y186" s="5">
        <f>Table1[[#This Row],[Revenue]]-Table1[[#This Row],[Market_Budget]]</f>
        <v>-259862</v>
      </c>
    </row>
    <row r="187" spans="1:25" x14ac:dyDescent="0.35">
      <c r="A187">
        <v>374754</v>
      </c>
      <c r="B187" s="1">
        <v>44244</v>
      </c>
      <c r="C187" s="1" t="str">
        <f>TEXT(Table1[[#This Row],[Date]],"dddd")</f>
        <v>Wednesday</v>
      </c>
      <c r="D187" s="1" t="str">
        <f>IF(WEEKDAY(Table1[[#This Row],[Date]],2)&gt;5,"Weekend","Weekday")</f>
        <v>Weekday</v>
      </c>
      <c r="E187" t="s">
        <v>45</v>
      </c>
      <c r="F187" t="str">
        <f>_xlfn.TEXTAFTER(Table1[[#This Row],[Campaign_Name]],"_")</f>
        <v>Blogger</v>
      </c>
      <c r="G187" t="str">
        <f>IF(ISNUMBER(SEARCH("Tier1",Table1[[#This Row],[Campaign_Name]])),"Tier1",IF(ISNUMBER(SEARCH("Tier2",Table1[[#This Row],[Campaign_Name]])),"Tier2","Not Applicable"))</f>
        <v>Not Applicable</v>
      </c>
      <c r="H187" t="s">
        <v>48</v>
      </c>
      <c r="I187" s="3">
        <v>462606</v>
      </c>
      <c r="J187" s="7">
        <v>2795511</v>
      </c>
      <c r="K187" s="7">
        <v>26990</v>
      </c>
      <c r="L187" s="7">
        <v>795</v>
      </c>
      <c r="M187" s="7">
        <v>119</v>
      </c>
      <c r="N187" s="2">
        <v>592739</v>
      </c>
      <c r="O187" s="6">
        <f>Table1[[#This Row],[Clicks]]/Table1[[#This Row],[Impressions]]</f>
        <v>9.6547643704496238E-3</v>
      </c>
      <c r="P187" s="6">
        <f>Table1[[#This Row],[Leads]]/Table1[[#This Row],[Clicks]]</f>
        <v>2.9455353834753614E-2</v>
      </c>
      <c r="Q187" s="6" t="str">
        <f>IF(Table1[[#This Row],[Conversion1]]&gt;=2%,"High","Low")</f>
        <v>High</v>
      </c>
      <c r="R187" s="6">
        <f>IFERROR(Table1[[#This Row],[Orders]]/Table1[[#This Row],[Leads]],0)</f>
        <v>0.14968553459119496</v>
      </c>
      <c r="S187" s="6" t="str">
        <f>IF(Table1[[#This Row],[Conversion2]]&gt;=15%,"High","Low")</f>
        <v>Low</v>
      </c>
      <c r="T187" s="4">
        <f>IFERROR(Table1[[#This Row],[Revenue]]/Table1[[#This Row],[Orders]],0)</f>
        <v>4981</v>
      </c>
      <c r="U187" s="4">
        <f>Table1[[#This Row],[Market_Budget]]/Table1[[#This Row],[Clicks]]</f>
        <v>17.139903668025195</v>
      </c>
      <c r="V187" s="4">
        <f>IFERROR(Table1[[#This Row],[Market_Budget]]/Table1[[#This Row],[Leads]],0)</f>
        <v>581.8943396226415</v>
      </c>
      <c r="W187" s="4">
        <f>IFERROR(Table1[[#This Row],[Market_Budget]]/Table1[[#This Row],[Orders]],0)</f>
        <v>3887.4453781512607</v>
      </c>
      <c r="X187" s="15">
        <f>(Table1[[#This Row],[Revenue]]-Table1[[#This Row],[Market_Budget]])/Table1[[#This Row],[Market_Budget]]</f>
        <v>0.28130417677245861</v>
      </c>
      <c r="Y187" s="5">
        <f>Table1[[#This Row],[Revenue]]-Table1[[#This Row],[Market_Budget]]</f>
        <v>130133</v>
      </c>
    </row>
    <row r="188" spans="1:25" x14ac:dyDescent="0.35">
      <c r="A188">
        <v>39889</v>
      </c>
      <c r="B188" s="1">
        <v>44244</v>
      </c>
      <c r="C188" s="1" t="str">
        <f>TEXT(Table1[[#This Row],[Date]],"dddd")</f>
        <v>Wednesday</v>
      </c>
      <c r="D188" s="1" t="str">
        <f>IF(WEEKDAY(Table1[[#This Row],[Date]],2)&gt;5,"Weekend","Weekday")</f>
        <v>Weekday</v>
      </c>
      <c r="E188" t="s">
        <v>46</v>
      </c>
      <c r="F188" t="str">
        <f>_xlfn.TEXTAFTER(Table1[[#This Row],[Campaign_Name]],"_")</f>
        <v>Partner</v>
      </c>
      <c r="G188" t="str">
        <f>IF(ISNUMBER(SEARCH("Tier1",Table1[[#This Row],[Campaign_Name]])),"Tier1",IF(ISNUMBER(SEARCH("Tier2",Table1[[#This Row],[Campaign_Name]])),"Tier2","Not Applicable"))</f>
        <v>Not Applicable</v>
      </c>
      <c r="H188" t="s">
        <v>62</v>
      </c>
      <c r="I188" s="3">
        <v>523398</v>
      </c>
      <c r="J188" s="7">
        <v>16553044</v>
      </c>
      <c r="K188" s="7">
        <v>37805</v>
      </c>
      <c r="L188" s="7">
        <v>756</v>
      </c>
      <c r="M188" s="7">
        <v>142</v>
      </c>
      <c r="N188" s="2">
        <v>565302</v>
      </c>
      <c r="O188" s="6">
        <f>Table1[[#This Row],[Clicks]]/Table1[[#This Row],[Impressions]]</f>
        <v>2.2838699637359751E-3</v>
      </c>
      <c r="P188" s="6">
        <f>Table1[[#This Row],[Leads]]/Table1[[#This Row],[Clicks]]</f>
        <v>1.9997354847242427E-2</v>
      </c>
      <c r="Q188" s="6" t="str">
        <f>IF(Table1[[#This Row],[Conversion1]]&gt;=2%,"High","Low")</f>
        <v>Low</v>
      </c>
      <c r="R188" s="6">
        <f>IFERROR(Table1[[#This Row],[Orders]]/Table1[[#This Row],[Leads]],0)</f>
        <v>0.18783068783068782</v>
      </c>
      <c r="S188" s="6" t="str">
        <f>IF(Table1[[#This Row],[Conversion2]]&gt;=15%,"High","Low")</f>
        <v>High</v>
      </c>
      <c r="T188" s="4">
        <f>IFERROR(Table1[[#This Row],[Revenue]]/Table1[[#This Row],[Orders]],0)</f>
        <v>3981</v>
      </c>
      <c r="U188" s="4">
        <f>Table1[[#This Row],[Market_Budget]]/Table1[[#This Row],[Clicks]]</f>
        <v>13.844676630075387</v>
      </c>
      <c r="V188" s="4">
        <f>IFERROR(Table1[[#This Row],[Market_Budget]]/Table1[[#This Row],[Leads]],0)</f>
        <v>692.32539682539687</v>
      </c>
      <c r="W188" s="4">
        <f>IFERROR(Table1[[#This Row],[Market_Budget]]/Table1[[#This Row],[Orders]],0)</f>
        <v>3685.9014084507044</v>
      </c>
      <c r="X188" s="15">
        <f>(Table1[[#This Row],[Revenue]]-Table1[[#This Row],[Market_Budget]])/Table1[[#This Row],[Market_Budget]]</f>
        <v>8.0061444636777362E-2</v>
      </c>
      <c r="Y188" s="5">
        <f>Table1[[#This Row],[Revenue]]-Table1[[#This Row],[Market_Budget]]</f>
        <v>41904</v>
      </c>
    </row>
    <row r="189" spans="1:25" x14ac:dyDescent="0.35">
      <c r="A189">
        <v>349043</v>
      </c>
      <c r="B189" s="1">
        <v>44245</v>
      </c>
      <c r="C189" s="1" t="str">
        <f>TEXT(Table1[[#This Row],[Date]],"dddd")</f>
        <v>Thursday</v>
      </c>
      <c r="D189" s="1" t="str">
        <f>IF(WEEKDAY(Table1[[#This Row],[Date]],2)&gt;5,"Weekend","Weekday")</f>
        <v>Weekday</v>
      </c>
      <c r="E189" t="s">
        <v>36</v>
      </c>
      <c r="F189" t="str">
        <f>_xlfn.TEXTAFTER(Table1[[#This Row],[Campaign_Name]],"_")</f>
        <v>Tier1</v>
      </c>
      <c r="G189" t="str">
        <f>IF(ISNUMBER(SEARCH("Tier1",Table1[[#This Row],[Campaign_Name]])),"Tier1",IF(ISNUMBER(SEARCH("Tier2",Table1[[#This Row],[Campaign_Name]])),"Tier2","Not Applicable"))</f>
        <v>Tier1</v>
      </c>
      <c r="H189" t="s">
        <v>61</v>
      </c>
      <c r="I189" s="3">
        <v>30892.2</v>
      </c>
      <c r="J189" s="7">
        <v>4798200</v>
      </c>
      <c r="K189" s="7">
        <v>23991</v>
      </c>
      <c r="L189" s="7">
        <v>61</v>
      </c>
      <c r="M189" s="7">
        <v>6</v>
      </c>
      <c r="N189" s="2">
        <v>25686</v>
      </c>
      <c r="O189" s="6">
        <f>Table1[[#This Row],[Clicks]]/Table1[[#This Row],[Impressions]]</f>
        <v>5.0000000000000001E-3</v>
      </c>
      <c r="P189" s="6">
        <f>Table1[[#This Row],[Leads]]/Table1[[#This Row],[Clicks]]</f>
        <v>2.5426201492226254E-3</v>
      </c>
      <c r="Q189" s="6" t="str">
        <f>IF(Table1[[#This Row],[Conversion1]]&gt;=2%,"High","Low")</f>
        <v>Low</v>
      </c>
      <c r="R189" s="6">
        <f>IFERROR(Table1[[#This Row],[Orders]]/Table1[[#This Row],[Leads]],0)</f>
        <v>9.8360655737704916E-2</v>
      </c>
      <c r="S189" s="6" t="str">
        <f>IF(Table1[[#This Row],[Conversion2]]&gt;=15%,"High","Low")</f>
        <v>Low</v>
      </c>
      <c r="T189" s="4">
        <f>IFERROR(Table1[[#This Row],[Revenue]]/Table1[[#This Row],[Orders]],0)</f>
        <v>4281</v>
      </c>
      <c r="U189" s="4">
        <f>Table1[[#This Row],[Market_Budget]]/Table1[[#This Row],[Clicks]]</f>
        <v>1.2876578717018883</v>
      </c>
      <c r="V189" s="4">
        <f>IFERROR(Table1[[#This Row],[Market_Budget]]/Table1[[#This Row],[Leads]],0)</f>
        <v>506.42950819672132</v>
      </c>
      <c r="W189" s="4">
        <f>IFERROR(Table1[[#This Row],[Market_Budget]]/Table1[[#This Row],[Orders]],0)</f>
        <v>5148.7</v>
      </c>
      <c r="X189" s="15">
        <f>(Table1[[#This Row],[Revenue]]-Table1[[#This Row],[Market_Budget]])/Table1[[#This Row],[Market_Budget]]</f>
        <v>-0.16852797793617807</v>
      </c>
      <c r="Y189" s="5">
        <f>Table1[[#This Row],[Revenue]]-Table1[[#This Row],[Market_Budget]]</f>
        <v>-5206.2000000000007</v>
      </c>
    </row>
    <row r="190" spans="1:25" x14ac:dyDescent="0.35">
      <c r="A190">
        <v>348934</v>
      </c>
      <c r="B190" s="1">
        <v>44245</v>
      </c>
      <c r="C190" s="1" t="str">
        <f>TEXT(Table1[[#This Row],[Date]],"dddd")</f>
        <v>Thursday</v>
      </c>
      <c r="D190" s="1" t="str">
        <f>IF(WEEKDAY(Table1[[#This Row],[Date]],2)&gt;5,"Weekend","Weekday")</f>
        <v>Weekday</v>
      </c>
      <c r="E190" t="s">
        <v>37</v>
      </c>
      <c r="F190" t="str">
        <f>_xlfn.TEXTAFTER(Table1[[#This Row],[Campaign_Name]],"_")</f>
        <v>Tier2</v>
      </c>
      <c r="G190" t="str">
        <f>IF(ISNUMBER(SEARCH("Tier1",Table1[[#This Row],[Campaign_Name]])),"Tier1",IF(ISNUMBER(SEARCH("Tier2",Table1[[#This Row],[Campaign_Name]])),"Tier2","Not Applicable"))</f>
        <v>Tier2</v>
      </c>
      <c r="H190" t="s">
        <v>61</v>
      </c>
      <c r="I190" s="3">
        <v>373294</v>
      </c>
      <c r="J190" s="7">
        <v>4678356</v>
      </c>
      <c r="K190" s="7">
        <v>33003</v>
      </c>
      <c r="L190" s="7">
        <v>1313</v>
      </c>
      <c r="M190" s="7">
        <v>51</v>
      </c>
      <c r="N190" s="2">
        <v>237711</v>
      </c>
      <c r="O190" s="6">
        <f>Table1[[#This Row],[Clicks]]/Table1[[#This Row],[Impressions]]</f>
        <v>7.0544011614336322E-3</v>
      </c>
      <c r="P190" s="6">
        <f>Table1[[#This Row],[Leads]]/Table1[[#This Row],[Clicks]]</f>
        <v>3.9784262036784535E-2</v>
      </c>
      <c r="Q190" s="6" t="str">
        <f>IF(Table1[[#This Row],[Conversion1]]&gt;=2%,"High","Low")</f>
        <v>High</v>
      </c>
      <c r="R190" s="6">
        <f>IFERROR(Table1[[#This Row],[Orders]]/Table1[[#This Row],[Leads]],0)</f>
        <v>3.8842345773038842E-2</v>
      </c>
      <c r="S190" s="6" t="str">
        <f>IF(Table1[[#This Row],[Conversion2]]&gt;=15%,"High","Low")</f>
        <v>Low</v>
      </c>
      <c r="T190" s="4">
        <f>IFERROR(Table1[[#This Row],[Revenue]]/Table1[[#This Row],[Orders]],0)</f>
        <v>4661</v>
      </c>
      <c r="U190" s="4">
        <f>Table1[[#This Row],[Market_Budget]]/Table1[[#This Row],[Clicks]]</f>
        <v>11.310911129291277</v>
      </c>
      <c r="V190" s="4">
        <f>IFERROR(Table1[[#This Row],[Market_Budget]]/Table1[[#This Row],[Leads]],0)</f>
        <v>284.30616907844632</v>
      </c>
      <c r="W190" s="4">
        <f>IFERROR(Table1[[#This Row],[Market_Budget]]/Table1[[#This Row],[Orders]],0)</f>
        <v>7319.4901960784309</v>
      </c>
      <c r="X190" s="15">
        <f>(Table1[[#This Row],[Revenue]]-Table1[[#This Row],[Market_Budget]])/Table1[[#This Row],[Market_Budget]]</f>
        <v>-0.36320701645351922</v>
      </c>
      <c r="Y190" s="5">
        <f>Table1[[#This Row],[Revenue]]-Table1[[#This Row],[Market_Budget]]</f>
        <v>-135583</v>
      </c>
    </row>
    <row r="191" spans="1:25" x14ac:dyDescent="0.35">
      <c r="A191">
        <v>89459845</v>
      </c>
      <c r="B191" s="1">
        <v>44245</v>
      </c>
      <c r="C191" s="1" t="str">
        <f>TEXT(Table1[[#This Row],[Date]],"dddd")</f>
        <v>Thursday</v>
      </c>
      <c r="D191" s="1" t="str">
        <f>IF(WEEKDAY(Table1[[#This Row],[Date]],2)&gt;5,"Weekend","Weekday")</f>
        <v>Weekday</v>
      </c>
      <c r="E191" t="s">
        <v>38</v>
      </c>
      <c r="F191" t="str">
        <f>_xlfn.TEXTAFTER(Table1[[#This Row],[Campaign_Name]],"_")</f>
        <v>Hot</v>
      </c>
      <c r="G191" t="str">
        <f>IF(ISNUMBER(SEARCH("Tier1",Table1[[#This Row],[Campaign_Name]])),"Tier1",IF(ISNUMBER(SEARCH("Tier2",Table1[[#This Row],[Campaign_Name]])),"Tier2","Not Applicable"))</f>
        <v>Not Applicable</v>
      </c>
      <c r="H191" t="s">
        <v>47</v>
      </c>
      <c r="I191" s="3">
        <v>119542</v>
      </c>
      <c r="J191" s="7">
        <v>527210</v>
      </c>
      <c r="K191" s="7">
        <v>9004</v>
      </c>
      <c r="L191" s="7">
        <v>162</v>
      </c>
      <c r="M191" s="7">
        <v>28</v>
      </c>
      <c r="N191" s="2">
        <v>214368</v>
      </c>
      <c r="O191" s="6">
        <f>Table1[[#This Row],[Clicks]]/Table1[[#This Row],[Impressions]]</f>
        <v>1.7078583486656172E-2</v>
      </c>
      <c r="P191" s="6">
        <f>Table1[[#This Row],[Leads]]/Table1[[#This Row],[Clicks]]</f>
        <v>1.799200355397601E-2</v>
      </c>
      <c r="Q191" s="6" t="str">
        <f>IF(Table1[[#This Row],[Conversion1]]&gt;=2%,"High","Low")</f>
        <v>Low</v>
      </c>
      <c r="R191" s="6">
        <f>IFERROR(Table1[[#This Row],[Orders]]/Table1[[#This Row],[Leads]],0)</f>
        <v>0.1728395061728395</v>
      </c>
      <c r="S191" s="6" t="str">
        <f>IF(Table1[[#This Row],[Conversion2]]&gt;=15%,"High","Low")</f>
        <v>High</v>
      </c>
      <c r="T191" s="4">
        <f>IFERROR(Table1[[#This Row],[Revenue]]/Table1[[#This Row],[Orders]],0)</f>
        <v>7656</v>
      </c>
      <c r="U191" s="4">
        <f>Table1[[#This Row],[Market_Budget]]/Table1[[#This Row],[Clicks]]</f>
        <v>13.27654375832963</v>
      </c>
      <c r="V191" s="4">
        <f>IFERROR(Table1[[#This Row],[Market_Budget]]/Table1[[#This Row],[Leads]],0)</f>
        <v>737.91358024691363</v>
      </c>
      <c r="W191" s="4">
        <f>IFERROR(Table1[[#This Row],[Market_Budget]]/Table1[[#This Row],[Orders]],0)</f>
        <v>4269.3571428571431</v>
      </c>
      <c r="X191" s="15">
        <f>(Table1[[#This Row],[Revenue]]-Table1[[#This Row],[Market_Budget]])/Table1[[#This Row],[Market_Budget]]</f>
        <v>0.7932442154221947</v>
      </c>
      <c r="Y191" s="5">
        <f>Table1[[#This Row],[Revenue]]-Table1[[#This Row],[Market_Budget]]</f>
        <v>94826</v>
      </c>
    </row>
    <row r="192" spans="1:25" x14ac:dyDescent="0.35">
      <c r="A192">
        <v>127823</v>
      </c>
      <c r="B192" s="1">
        <v>44245</v>
      </c>
      <c r="C192" s="1" t="str">
        <f>TEXT(Table1[[#This Row],[Date]],"dddd")</f>
        <v>Thursday</v>
      </c>
      <c r="D192" s="1" t="str">
        <f>IF(WEEKDAY(Table1[[#This Row],[Date]],2)&gt;5,"Weekend","Weekday")</f>
        <v>Weekday</v>
      </c>
      <c r="E192" t="s">
        <v>39</v>
      </c>
      <c r="F192" t="str">
        <f>_xlfn.TEXTAFTER(Table1[[#This Row],[Campaign_Name]],"_")</f>
        <v>Wide</v>
      </c>
      <c r="G192" t="str">
        <f>IF(ISNUMBER(SEARCH("Tier1",Table1[[#This Row],[Campaign_Name]])),"Tier1",IF(ISNUMBER(SEARCH("Tier2",Table1[[#This Row],[Campaign_Name]])),"Tier2","Not Applicable"))</f>
        <v>Not Applicable</v>
      </c>
      <c r="H192" t="s">
        <v>47</v>
      </c>
      <c r="I192" s="3">
        <v>200986</v>
      </c>
      <c r="J192" s="7">
        <v>10593685</v>
      </c>
      <c r="K192" s="7">
        <v>24005</v>
      </c>
      <c r="L192" s="7">
        <v>480</v>
      </c>
      <c r="M192" s="7">
        <v>43</v>
      </c>
      <c r="N192" s="2">
        <v>93353</v>
      </c>
      <c r="O192" s="6">
        <f>Table1[[#This Row],[Clicks]]/Table1[[#This Row],[Impressions]]</f>
        <v>2.2659726053776376E-3</v>
      </c>
      <c r="P192" s="6">
        <f>Table1[[#This Row],[Leads]]/Table1[[#This Row],[Clicks]]</f>
        <v>1.9995834201208082E-2</v>
      </c>
      <c r="Q192" s="6" t="str">
        <f>IF(Table1[[#This Row],[Conversion1]]&gt;=2%,"High","Low")</f>
        <v>Low</v>
      </c>
      <c r="R192" s="6">
        <f>IFERROR(Table1[[#This Row],[Orders]]/Table1[[#This Row],[Leads]],0)</f>
        <v>8.9583333333333334E-2</v>
      </c>
      <c r="S192" s="6" t="str">
        <f>IF(Table1[[#This Row],[Conversion2]]&gt;=15%,"High","Low")</f>
        <v>Low</v>
      </c>
      <c r="T192" s="4">
        <f>IFERROR(Table1[[#This Row],[Revenue]]/Table1[[#This Row],[Orders]],0)</f>
        <v>2171</v>
      </c>
      <c r="U192" s="4">
        <f>Table1[[#This Row],[Market_Budget]]/Table1[[#This Row],[Clicks]]</f>
        <v>8.3726723599250157</v>
      </c>
      <c r="V192" s="4">
        <f>IFERROR(Table1[[#This Row],[Market_Budget]]/Table1[[#This Row],[Leads]],0)</f>
        <v>418.72083333333336</v>
      </c>
      <c r="W192" s="4">
        <f>IFERROR(Table1[[#This Row],[Market_Budget]]/Table1[[#This Row],[Orders]],0)</f>
        <v>4674.0930232558139</v>
      </c>
      <c r="X192" s="15">
        <f>(Table1[[#This Row],[Revenue]]-Table1[[#This Row],[Market_Budget]])/Table1[[#This Row],[Market_Budget]]</f>
        <v>-0.53552486242822883</v>
      </c>
      <c r="Y192" s="5">
        <f>Table1[[#This Row],[Revenue]]-Table1[[#This Row],[Market_Budget]]</f>
        <v>-107633</v>
      </c>
    </row>
    <row r="193" spans="1:25" x14ac:dyDescent="0.35">
      <c r="A193">
        <v>10934</v>
      </c>
      <c r="B193" s="1">
        <v>44245</v>
      </c>
      <c r="C193" s="1" t="str">
        <f>TEXT(Table1[[#This Row],[Date]],"dddd")</f>
        <v>Thursday</v>
      </c>
      <c r="D193" s="1" t="str">
        <f>IF(WEEKDAY(Table1[[#This Row],[Date]],2)&gt;5,"Weekend","Weekday")</f>
        <v>Weekday</v>
      </c>
      <c r="E193" t="s">
        <v>40</v>
      </c>
      <c r="F193" t="str">
        <f>_xlfn.TEXTAFTER(Table1[[#This Row],[Campaign_Name]],"_")</f>
        <v>Blogger</v>
      </c>
      <c r="G193" t="str">
        <f>IF(ISNUMBER(SEARCH("Tier1",Table1[[#This Row],[Campaign_Name]])),"Tier1",IF(ISNUMBER(SEARCH("Tier2",Table1[[#This Row],[Campaign_Name]])),"Tier2","Not Applicable"))</f>
        <v>Not Applicable</v>
      </c>
      <c r="H193" t="s">
        <v>48</v>
      </c>
      <c r="I193" s="3">
        <v>86522.9</v>
      </c>
      <c r="J193" s="7">
        <v>4064081</v>
      </c>
      <c r="K193" s="7">
        <v>45004</v>
      </c>
      <c r="L193" s="7">
        <v>144</v>
      </c>
      <c r="M193" s="7">
        <v>31</v>
      </c>
      <c r="N193" s="2">
        <v>256897</v>
      </c>
      <c r="O193" s="6">
        <f>Table1[[#This Row],[Clicks]]/Table1[[#This Row],[Impressions]]</f>
        <v>1.1073598188618781E-2</v>
      </c>
      <c r="P193" s="6">
        <f>Table1[[#This Row],[Leads]]/Table1[[#This Row],[Clicks]]</f>
        <v>3.199715580837259E-3</v>
      </c>
      <c r="Q193" s="6" t="str">
        <f>IF(Table1[[#This Row],[Conversion1]]&gt;=2%,"High","Low")</f>
        <v>Low</v>
      </c>
      <c r="R193" s="6">
        <f>IFERROR(Table1[[#This Row],[Orders]]/Table1[[#This Row],[Leads]],0)</f>
        <v>0.21527777777777779</v>
      </c>
      <c r="S193" s="6" t="str">
        <f>IF(Table1[[#This Row],[Conversion2]]&gt;=15%,"High","Low")</f>
        <v>High</v>
      </c>
      <c r="T193" s="4">
        <f>IFERROR(Table1[[#This Row],[Revenue]]/Table1[[#This Row],[Orders]],0)</f>
        <v>8287</v>
      </c>
      <c r="U193" s="4">
        <f>Table1[[#This Row],[Market_Budget]]/Table1[[#This Row],[Clicks]]</f>
        <v>1.9225602168696114</v>
      </c>
      <c r="V193" s="4">
        <f>IFERROR(Table1[[#This Row],[Market_Budget]]/Table1[[#This Row],[Leads]],0)</f>
        <v>600.85347222222219</v>
      </c>
      <c r="W193" s="4">
        <f>IFERROR(Table1[[#This Row],[Market_Budget]]/Table1[[#This Row],[Orders]],0)</f>
        <v>2791.0612903225806</v>
      </c>
      <c r="X193" s="15">
        <f>(Table1[[#This Row],[Revenue]]-Table1[[#This Row],[Market_Budget]])/Table1[[#This Row],[Market_Budget]]</f>
        <v>1.9691214695762627</v>
      </c>
      <c r="Y193" s="5">
        <f>Table1[[#This Row],[Revenue]]-Table1[[#This Row],[Market_Budget]]</f>
        <v>170374.1</v>
      </c>
    </row>
    <row r="194" spans="1:25" x14ac:dyDescent="0.35">
      <c r="A194">
        <v>9034945</v>
      </c>
      <c r="B194" s="1">
        <v>44245</v>
      </c>
      <c r="C194" s="1" t="str">
        <f>TEXT(Table1[[#This Row],[Date]],"dddd")</f>
        <v>Thursday</v>
      </c>
      <c r="D194" s="1" t="str">
        <f>IF(WEEKDAY(Table1[[#This Row],[Date]],2)&gt;5,"Weekend","Weekday")</f>
        <v>Weekday</v>
      </c>
      <c r="E194" t="s">
        <v>41</v>
      </c>
      <c r="F194" t="str">
        <f>_xlfn.TEXTAFTER(Table1[[#This Row],[Campaign_Name]],"_")</f>
        <v>Tier1</v>
      </c>
      <c r="G194" t="str">
        <f>IF(ISNUMBER(SEARCH("Tier1",Table1[[#This Row],[Campaign_Name]])),"Tier1",IF(ISNUMBER(SEARCH("Tier2",Table1[[#This Row],[Campaign_Name]])),"Tier2","Not Applicable"))</f>
        <v>Tier1</v>
      </c>
      <c r="H194" t="s">
        <v>61</v>
      </c>
      <c r="I194" s="3">
        <v>241388</v>
      </c>
      <c r="J194" s="7">
        <v>11212959</v>
      </c>
      <c r="K194" s="7">
        <v>27009</v>
      </c>
      <c r="L194" s="7">
        <v>599</v>
      </c>
      <c r="M194" s="7">
        <v>72</v>
      </c>
      <c r="N194" s="2">
        <v>430632</v>
      </c>
      <c r="O194" s="6">
        <f>Table1[[#This Row],[Clicks]]/Table1[[#This Row],[Impressions]]</f>
        <v>2.4087308265374019E-3</v>
      </c>
      <c r="P194" s="6">
        <f>Table1[[#This Row],[Leads]]/Table1[[#This Row],[Clicks]]</f>
        <v>2.2177792587655967E-2</v>
      </c>
      <c r="Q194" s="6" t="str">
        <f>IF(Table1[[#This Row],[Conversion1]]&gt;=2%,"High","Low")</f>
        <v>High</v>
      </c>
      <c r="R194" s="6">
        <f>IFERROR(Table1[[#This Row],[Orders]]/Table1[[#This Row],[Leads]],0)</f>
        <v>0.12020033388981637</v>
      </c>
      <c r="S194" s="6" t="str">
        <f>IF(Table1[[#This Row],[Conversion2]]&gt;=15%,"High","Low")</f>
        <v>Low</v>
      </c>
      <c r="T194" s="4">
        <f>IFERROR(Table1[[#This Row],[Revenue]]/Table1[[#This Row],[Orders]],0)</f>
        <v>5981</v>
      </c>
      <c r="U194" s="4">
        <f>Table1[[#This Row],[Market_Budget]]/Table1[[#This Row],[Clicks]]</f>
        <v>8.9373171905661071</v>
      </c>
      <c r="V194" s="4">
        <f>IFERROR(Table1[[#This Row],[Market_Budget]]/Table1[[#This Row],[Leads]],0)</f>
        <v>402.98497495826376</v>
      </c>
      <c r="W194" s="4">
        <f>IFERROR(Table1[[#This Row],[Market_Budget]]/Table1[[#This Row],[Orders]],0)</f>
        <v>3352.6111111111113</v>
      </c>
      <c r="X194" s="15">
        <f>(Table1[[#This Row],[Revenue]]-Table1[[#This Row],[Market_Budget]])/Table1[[#This Row],[Market_Budget]]</f>
        <v>0.78398263376804145</v>
      </c>
      <c r="Y194" s="5">
        <f>Table1[[#This Row],[Revenue]]-Table1[[#This Row],[Market_Budget]]</f>
        <v>189244</v>
      </c>
    </row>
    <row r="195" spans="1:25" x14ac:dyDescent="0.35">
      <c r="A195">
        <v>983498</v>
      </c>
      <c r="B195" s="1">
        <v>44245</v>
      </c>
      <c r="C195" s="1" t="str">
        <f>TEXT(Table1[[#This Row],[Date]],"dddd")</f>
        <v>Thursday</v>
      </c>
      <c r="D195" s="1" t="str">
        <f>IF(WEEKDAY(Table1[[#This Row],[Date]],2)&gt;5,"Weekend","Weekday")</f>
        <v>Weekday</v>
      </c>
      <c r="E195" t="s">
        <v>42</v>
      </c>
      <c r="F195" t="str">
        <f>_xlfn.TEXTAFTER(Table1[[#This Row],[Campaign_Name]],"_")</f>
        <v>Tier2</v>
      </c>
      <c r="G195" t="str">
        <f>IF(ISNUMBER(SEARCH("Tier1",Table1[[#This Row],[Campaign_Name]])),"Tier1",IF(ISNUMBER(SEARCH("Tier2",Table1[[#This Row],[Campaign_Name]])),"Tier2","Not Applicable"))</f>
        <v>Tier2</v>
      </c>
      <c r="H195" t="s">
        <v>61</v>
      </c>
      <c r="I195" s="3">
        <v>58596.4</v>
      </c>
      <c r="J195" s="7">
        <v>13281923</v>
      </c>
      <c r="K195" s="7">
        <v>51000</v>
      </c>
      <c r="L195" s="7">
        <v>1020</v>
      </c>
      <c r="M195" s="7">
        <v>16</v>
      </c>
      <c r="N195" s="2">
        <v>36016</v>
      </c>
      <c r="O195" s="6">
        <f>Table1[[#This Row],[Clicks]]/Table1[[#This Row],[Impressions]]</f>
        <v>3.8398054257655313E-3</v>
      </c>
      <c r="P195" s="6">
        <f>Table1[[#This Row],[Leads]]/Table1[[#This Row],[Clicks]]</f>
        <v>0.02</v>
      </c>
      <c r="Q195" s="6" t="str">
        <f>IF(Table1[[#This Row],[Conversion1]]&gt;=2%,"High","Low")</f>
        <v>High</v>
      </c>
      <c r="R195" s="6">
        <f>IFERROR(Table1[[#This Row],[Orders]]/Table1[[#This Row],[Leads]],0)</f>
        <v>1.5686274509803921E-2</v>
      </c>
      <c r="S195" s="6" t="str">
        <f>IF(Table1[[#This Row],[Conversion2]]&gt;=15%,"High","Low")</f>
        <v>Low</v>
      </c>
      <c r="T195" s="4">
        <f>IFERROR(Table1[[#This Row],[Revenue]]/Table1[[#This Row],[Orders]],0)</f>
        <v>2251</v>
      </c>
      <c r="U195" s="4">
        <f>Table1[[#This Row],[Market_Budget]]/Table1[[#This Row],[Clicks]]</f>
        <v>1.1489490196078431</v>
      </c>
      <c r="V195" s="4">
        <f>IFERROR(Table1[[#This Row],[Market_Budget]]/Table1[[#This Row],[Leads]],0)</f>
        <v>57.447450980392155</v>
      </c>
      <c r="W195" s="4">
        <f>IFERROR(Table1[[#This Row],[Market_Budget]]/Table1[[#This Row],[Orders]],0)</f>
        <v>3662.2750000000001</v>
      </c>
      <c r="X195" s="15">
        <f>(Table1[[#This Row],[Revenue]]-Table1[[#This Row],[Market_Budget]])/Table1[[#This Row],[Market_Budget]]</f>
        <v>-0.38535473169000145</v>
      </c>
      <c r="Y195" s="5">
        <f>Table1[[#This Row],[Revenue]]-Table1[[#This Row],[Market_Budget]]</f>
        <v>-22580.400000000001</v>
      </c>
    </row>
    <row r="196" spans="1:25" x14ac:dyDescent="0.35">
      <c r="A196">
        <v>4387490</v>
      </c>
      <c r="B196" s="1">
        <v>44245</v>
      </c>
      <c r="C196" s="1" t="str">
        <f>TEXT(Table1[[#This Row],[Date]],"dddd")</f>
        <v>Thursday</v>
      </c>
      <c r="D196" s="1" t="str">
        <f>IF(WEEKDAY(Table1[[#This Row],[Date]],2)&gt;5,"Weekend","Weekday")</f>
        <v>Weekday</v>
      </c>
      <c r="E196" t="s">
        <v>43</v>
      </c>
      <c r="F196" t="str">
        <f>_xlfn.TEXTAFTER(Table1[[#This Row],[Campaign_Name]],"_")</f>
        <v>Retargeting</v>
      </c>
      <c r="G196" t="str">
        <f>IF(ISNUMBER(SEARCH("Tier1",Table1[[#This Row],[Campaign_Name]])),"Tier1",IF(ISNUMBER(SEARCH("Tier2",Table1[[#This Row],[Campaign_Name]])),"Tier2","Not Applicable"))</f>
        <v>Not Applicable</v>
      </c>
      <c r="H196" t="s">
        <v>61</v>
      </c>
      <c r="I196" s="3">
        <v>17176.7</v>
      </c>
      <c r="J196" s="7">
        <v>97885</v>
      </c>
      <c r="K196" s="7">
        <v>2991</v>
      </c>
      <c r="L196" s="7">
        <v>28</v>
      </c>
      <c r="M196" s="7">
        <v>6</v>
      </c>
      <c r="N196" s="2">
        <v>33930</v>
      </c>
      <c r="O196" s="6">
        <f>Table1[[#This Row],[Clicks]]/Table1[[#This Row],[Impressions]]</f>
        <v>3.0556265004852635E-2</v>
      </c>
      <c r="P196" s="6">
        <f>Table1[[#This Row],[Leads]]/Table1[[#This Row],[Clicks]]</f>
        <v>9.3614175860916079E-3</v>
      </c>
      <c r="Q196" s="6" t="str">
        <f>IF(Table1[[#This Row],[Conversion1]]&gt;=2%,"High","Low")</f>
        <v>Low</v>
      </c>
      <c r="R196" s="6">
        <f>IFERROR(Table1[[#This Row],[Orders]]/Table1[[#This Row],[Leads]],0)</f>
        <v>0.21428571428571427</v>
      </c>
      <c r="S196" s="6" t="str">
        <f>IF(Table1[[#This Row],[Conversion2]]&gt;=15%,"High","Low")</f>
        <v>High</v>
      </c>
      <c r="T196" s="4">
        <f>IFERROR(Table1[[#This Row],[Revenue]]/Table1[[#This Row],[Orders]],0)</f>
        <v>5655</v>
      </c>
      <c r="U196" s="4">
        <f>Table1[[#This Row],[Market_Budget]]/Table1[[#This Row],[Clicks]]</f>
        <v>5.7427950518221333</v>
      </c>
      <c r="V196" s="4">
        <f>IFERROR(Table1[[#This Row],[Market_Budget]]/Table1[[#This Row],[Leads]],0)</f>
        <v>613.45357142857142</v>
      </c>
      <c r="W196" s="4">
        <f>IFERROR(Table1[[#This Row],[Market_Budget]]/Table1[[#This Row],[Orders]],0)</f>
        <v>2862.7833333333333</v>
      </c>
      <c r="X196" s="15">
        <f>(Table1[[#This Row],[Revenue]]-Table1[[#This Row],[Market_Budget]])/Table1[[#This Row],[Market_Budget]]</f>
        <v>0.97535032922505482</v>
      </c>
      <c r="Y196" s="5">
        <f>Table1[[#This Row],[Revenue]]-Table1[[#This Row],[Market_Budget]]</f>
        <v>16753.3</v>
      </c>
    </row>
    <row r="197" spans="1:25" x14ac:dyDescent="0.35">
      <c r="A197">
        <v>544756</v>
      </c>
      <c r="B197" s="1">
        <v>44245</v>
      </c>
      <c r="C197" s="1" t="str">
        <f>TEXT(Table1[[#This Row],[Date]],"dddd")</f>
        <v>Thursday</v>
      </c>
      <c r="D197" s="1" t="str">
        <f>IF(WEEKDAY(Table1[[#This Row],[Date]],2)&gt;5,"Weekend","Weekday")</f>
        <v>Weekday</v>
      </c>
      <c r="E197" t="s">
        <v>44</v>
      </c>
      <c r="F197" t="str">
        <f>_xlfn.TEXTAFTER(Table1[[#This Row],[Campaign_Name]],"_")</f>
        <v>Lal</v>
      </c>
      <c r="G197" t="str">
        <f>IF(ISNUMBER(SEARCH("Tier1",Table1[[#This Row],[Campaign_Name]])),"Tier1",IF(ISNUMBER(SEARCH("Tier2",Table1[[#This Row],[Campaign_Name]])),"Tier2","Not Applicable"))</f>
        <v>Not Applicable</v>
      </c>
      <c r="H197" t="s">
        <v>61</v>
      </c>
      <c r="I197" s="3">
        <v>171831</v>
      </c>
      <c r="J197" s="7">
        <v>1181224</v>
      </c>
      <c r="K197" s="7">
        <v>11991</v>
      </c>
      <c r="L197" s="7">
        <v>128</v>
      </c>
      <c r="M197" s="7">
        <v>19</v>
      </c>
      <c r="N197" s="2">
        <v>17917</v>
      </c>
      <c r="O197" s="6">
        <f>Table1[[#This Row],[Clicks]]/Table1[[#This Row],[Impressions]]</f>
        <v>1.0151334547892694E-2</v>
      </c>
      <c r="P197" s="6">
        <f>Table1[[#This Row],[Leads]]/Table1[[#This Row],[Clicks]]</f>
        <v>1.0674672671170045E-2</v>
      </c>
      <c r="Q197" s="6" t="str">
        <f>IF(Table1[[#This Row],[Conversion1]]&gt;=2%,"High","Low")</f>
        <v>Low</v>
      </c>
      <c r="R197" s="6">
        <f>IFERROR(Table1[[#This Row],[Orders]]/Table1[[#This Row],[Leads]],0)</f>
        <v>0.1484375</v>
      </c>
      <c r="S197" s="6" t="str">
        <f>IF(Table1[[#This Row],[Conversion2]]&gt;=15%,"High","Low")</f>
        <v>Low</v>
      </c>
      <c r="T197" s="4">
        <f>IFERROR(Table1[[#This Row],[Revenue]]/Table1[[#This Row],[Orders]],0)</f>
        <v>943</v>
      </c>
      <c r="U197" s="4">
        <f>Table1[[#This Row],[Market_Budget]]/Table1[[#This Row],[Clicks]]</f>
        <v>14.329997498123593</v>
      </c>
      <c r="V197" s="4">
        <f>IFERROR(Table1[[#This Row],[Market_Budget]]/Table1[[#This Row],[Leads]],0)</f>
        <v>1342.4296875</v>
      </c>
      <c r="W197" s="4">
        <f>IFERROR(Table1[[#This Row],[Market_Budget]]/Table1[[#This Row],[Orders]],0)</f>
        <v>9043.7368421052633</v>
      </c>
      <c r="X197" s="15">
        <f>(Table1[[#This Row],[Revenue]]-Table1[[#This Row],[Market_Budget]])/Table1[[#This Row],[Market_Budget]]</f>
        <v>-0.89572894297303751</v>
      </c>
      <c r="Y197" s="5">
        <f>Table1[[#This Row],[Revenue]]-Table1[[#This Row],[Market_Budget]]</f>
        <v>-153914</v>
      </c>
    </row>
    <row r="198" spans="1:25" x14ac:dyDescent="0.35">
      <c r="A198">
        <v>374754</v>
      </c>
      <c r="B198" s="1">
        <v>44245</v>
      </c>
      <c r="C198" s="1" t="str">
        <f>TEXT(Table1[[#This Row],[Date]],"dddd")</f>
        <v>Thursday</v>
      </c>
      <c r="D198" s="1" t="str">
        <f>IF(WEEKDAY(Table1[[#This Row],[Date]],2)&gt;5,"Weekend","Weekday")</f>
        <v>Weekday</v>
      </c>
      <c r="E198" t="s">
        <v>45</v>
      </c>
      <c r="F198" t="str">
        <f>_xlfn.TEXTAFTER(Table1[[#This Row],[Campaign_Name]],"_")</f>
        <v>Blogger</v>
      </c>
      <c r="G198" t="str">
        <f>IF(ISNUMBER(SEARCH("Tier1",Table1[[#This Row],[Campaign_Name]])),"Tier1",IF(ISNUMBER(SEARCH("Tier2",Table1[[#This Row],[Campaign_Name]])),"Tier2","Not Applicable"))</f>
        <v>Not Applicable</v>
      </c>
      <c r="H198" t="s">
        <v>48</v>
      </c>
      <c r="I198" s="3">
        <v>518530</v>
      </c>
      <c r="J198" s="7">
        <v>2482796</v>
      </c>
      <c r="K198" s="7">
        <v>30000</v>
      </c>
      <c r="L198" s="7">
        <v>1032</v>
      </c>
      <c r="M198" s="7">
        <v>134</v>
      </c>
      <c r="N198" s="2">
        <v>796630</v>
      </c>
      <c r="O198" s="6">
        <f>Table1[[#This Row],[Clicks]]/Table1[[#This Row],[Impressions]]</f>
        <v>1.2083151414775922E-2</v>
      </c>
      <c r="P198" s="6">
        <f>Table1[[#This Row],[Leads]]/Table1[[#This Row],[Clicks]]</f>
        <v>3.44E-2</v>
      </c>
      <c r="Q198" s="6" t="str">
        <f>IF(Table1[[#This Row],[Conversion1]]&gt;=2%,"High","Low")</f>
        <v>High</v>
      </c>
      <c r="R198" s="6">
        <f>IFERROR(Table1[[#This Row],[Orders]]/Table1[[#This Row],[Leads]],0)</f>
        <v>0.12984496124031009</v>
      </c>
      <c r="S198" s="6" t="str">
        <f>IF(Table1[[#This Row],[Conversion2]]&gt;=15%,"High","Low")</f>
        <v>Low</v>
      </c>
      <c r="T198" s="4">
        <f>IFERROR(Table1[[#This Row],[Revenue]]/Table1[[#This Row],[Orders]],0)</f>
        <v>5945</v>
      </c>
      <c r="U198" s="4">
        <f>Table1[[#This Row],[Market_Budget]]/Table1[[#This Row],[Clicks]]</f>
        <v>17.284333333333333</v>
      </c>
      <c r="V198" s="4">
        <f>IFERROR(Table1[[#This Row],[Market_Budget]]/Table1[[#This Row],[Leads]],0)</f>
        <v>502.45155038759691</v>
      </c>
      <c r="W198" s="4">
        <f>IFERROR(Table1[[#This Row],[Market_Budget]]/Table1[[#This Row],[Orders]],0)</f>
        <v>3869.626865671642</v>
      </c>
      <c r="X198" s="15">
        <f>(Table1[[#This Row],[Revenue]]-Table1[[#This Row],[Market_Budget]])/Table1[[#This Row],[Market_Budget]]</f>
        <v>0.53632383854357513</v>
      </c>
      <c r="Y198" s="5">
        <f>Table1[[#This Row],[Revenue]]-Table1[[#This Row],[Market_Budget]]</f>
        <v>278100</v>
      </c>
    </row>
    <row r="199" spans="1:25" x14ac:dyDescent="0.35">
      <c r="A199">
        <v>39889</v>
      </c>
      <c r="B199" s="1">
        <v>44245</v>
      </c>
      <c r="C199" s="1" t="str">
        <f>TEXT(Table1[[#This Row],[Date]],"dddd")</f>
        <v>Thursday</v>
      </c>
      <c r="D199" s="1" t="str">
        <f>IF(WEEKDAY(Table1[[#This Row],[Date]],2)&gt;5,"Weekend","Weekday")</f>
        <v>Weekday</v>
      </c>
      <c r="E199" t="s">
        <v>46</v>
      </c>
      <c r="F199" t="str">
        <f>_xlfn.TEXTAFTER(Table1[[#This Row],[Campaign_Name]],"_")</f>
        <v>Partner</v>
      </c>
      <c r="G199" t="str">
        <f>IF(ISNUMBER(SEARCH("Tier1",Table1[[#This Row],[Campaign_Name]])),"Tier1",IF(ISNUMBER(SEARCH("Tier2",Table1[[#This Row],[Campaign_Name]])),"Tier2","Not Applicable"))</f>
        <v>Not Applicable</v>
      </c>
      <c r="H199" t="s">
        <v>62</v>
      </c>
      <c r="I199" s="3">
        <v>339735</v>
      </c>
      <c r="J199" s="7">
        <v>419970000</v>
      </c>
      <c r="K199" s="7">
        <v>41997</v>
      </c>
      <c r="L199" s="7">
        <v>840</v>
      </c>
      <c r="M199" s="7">
        <v>114</v>
      </c>
      <c r="N199" s="2">
        <v>516420</v>
      </c>
      <c r="O199" s="6">
        <f>Table1[[#This Row],[Clicks]]/Table1[[#This Row],[Impressions]]</f>
        <v>1E-4</v>
      </c>
      <c r="P199" s="6">
        <f>Table1[[#This Row],[Leads]]/Table1[[#This Row],[Clicks]]</f>
        <v>2.0001428673476675E-2</v>
      </c>
      <c r="Q199" s="6" t="str">
        <f>IF(Table1[[#This Row],[Conversion1]]&gt;=2%,"High","Low")</f>
        <v>High</v>
      </c>
      <c r="R199" s="6">
        <f>IFERROR(Table1[[#This Row],[Orders]]/Table1[[#This Row],[Leads]],0)</f>
        <v>0.1357142857142857</v>
      </c>
      <c r="S199" s="6" t="str">
        <f>IF(Table1[[#This Row],[Conversion2]]&gt;=15%,"High","Low")</f>
        <v>Low</v>
      </c>
      <c r="T199" s="4">
        <f>IFERROR(Table1[[#This Row],[Revenue]]/Table1[[#This Row],[Orders]],0)</f>
        <v>4530</v>
      </c>
      <c r="U199" s="4">
        <f>Table1[[#This Row],[Market_Budget]]/Table1[[#This Row],[Clicks]]</f>
        <v>8.0895063933138083</v>
      </c>
      <c r="V199" s="4">
        <f>IFERROR(Table1[[#This Row],[Market_Budget]]/Table1[[#This Row],[Leads]],0)</f>
        <v>404.44642857142856</v>
      </c>
      <c r="W199" s="4">
        <f>IFERROR(Table1[[#This Row],[Market_Budget]]/Table1[[#This Row],[Orders]],0)</f>
        <v>2980.1315789473683</v>
      </c>
      <c r="X199" s="15">
        <f>(Table1[[#This Row],[Revenue]]-Table1[[#This Row],[Market_Budget]])/Table1[[#This Row],[Market_Budget]]</f>
        <v>0.52006711113073423</v>
      </c>
      <c r="Y199" s="5">
        <f>Table1[[#This Row],[Revenue]]-Table1[[#This Row],[Market_Budget]]</f>
        <v>176685</v>
      </c>
    </row>
    <row r="200" spans="1:25" x14ac:dyDescent="0.35">
      <c r="A200">
        <v>349043</v>
      </c>
      <c r="B200" s="1">
        <v>44246</v>
      </c>
      <c r="C200" s="1" t="str">
        <f>TEXT(Table1[[#This Row],[Date]],"dddd")</f>
        <v>Friday</v>
      </c>
      <c r="D200" s="1" t="str">
        <f>IF(WEEKDAY(Table1[[#This Row],[Date]],2)&gt;5,"Weekend","Weekday")</f>
        <v>Weekday</v>
      </c>
      <c r="E200" t="s">
        <v>36</v>
      </c>
      <c r="F200" t="str">
        <f>_xlfn.TEXTAFTER(Table1[[#This Row],[Campaign_Name]],"_")</f>
        <v>Tier1</v>
      </c>
      <c r="G200" t="str">
        <f>IF(ISNUMBER(SEARCH("Tier1",Table1[[#This Row],[Campaign_Name]])),"Tier1",IF(ISNUMBER(SEARCH("Tier2",Table1[[#This Row],[Campaign_Name]])),"Tier2","Not Applicable"))</f>
        <v>Tier1</v>
      </c>
      <c r="H200" t="s">
        <v>61</v>
      </c>
      <c r="I200" s="3">
        <v>53253.9</v>
      </c>
      <c r="J200" s="7">
        <v>15345139</v>
      </c>
      <c r="K200" s="7">
        <v>26407</v>
      </c>
      <c r="L200" s="7">
        <v>71</v>
      </c>
      <c r="M200" s="7">
        <v>10</v>
      </c>
      <c r="N200" s="2">
        <v>44550</v>
      </c>
      <c r="O200" s="6">
        <f>Table1[[#This Row],[Clicks]]/Table1[[#This Row],[Impressions]]</f>
        <v>1.7208706939702534E-3</v>
      </c>
      <c r="P200" s="6">
        <f>Table1[[#This Row],[Leads]]/Table1[[#This Row],[Clicks]]</f>
        <v>2.6886810315446662E-3</v>
      </c>
      <c r="Q200" s="6" t="str">
        <f>IF(Table1[[#This Row],[Conversion1]]&gt;=2%,"High","Low")</f>
        <v>Low</v>
      </c>
      <c r="R200" s="6">
        <f>IFERROR(Table1[[#This Row],[Orders]]/Table1[[#This Row],[Leads]],0)</f>
        <v>0.14084507042253522</v>
      </c>
      <c r="S200" s="6" t="str">
        <f>IF(Table1[[#This Row],[Conversion2]]&gt;=15%,"High","Low")</f>
        <v>Low</v>
      </c>
      <c r="T200" s="4">
        <f>IFERROR(Table1[[#This Row],[Revenue]]/Table1[[#This Row],[Orders]],0)</f>
        <v>4455</v>
      </c>
      <c r="U200" s="4">
        <f>Table1[[#This Row],[Market_Budget]]/Table1[[#This Row],[Clicks]]</f>
        <v>2.0166584617715002</v>
      </c>
      <c r="V200" s="4">
        <f>IFERROR(Table1[[#This Row],[Market_Budget]]/Table1[[#This Row],[Leads]],0)</f>
        <v>750.0549295774648</v>
      </c>
      <c r="W200" s="4">
        <f>IFERROR(Table1[[#This Row],[Market_Budget]]/Table1[[#This Row],[Orders]],0)</f>
        <v>5325.39</v>
      </c>
      <c r="X200" s="15">
        <f>(Table1[[#This Row],[Revenue]]-Table1[[#This Row],[Market_Budget]])/Table1[[#This Row],[Market_Budget]]</f>
        <v>-0.16344155075966268</v>
      </c>
      <c r="Y200" s="5">
        <f>Table1[[#This Row],[Revenue]]-Table1[[#This Row],[Market_Budget]]</f>
        <v>-8703.9000000000015</v>
      </c>
    </row>
    <row r="201" spans="1:25" x14ac:dyDescent="0.35">
      <c r="A201">
        <v>348934</v>
      </c>
      <c r="B201" s="1">
        <v>44246</v>
      </c>
      <c r="C201" s="1" t="str">
        <f>TEXT(Table1[[#This Row],[Date]],"dddd")</f>
        <v>Friday</v>
      </c>
      <c r="D201" s="1" t="str">
        <f>IF(WEEKDAY(Table1[[#This Row],[Date]],2)&gt;5,"Weekend","Weekday")</f>
        <v>Weekday</v>
      </c>
      <c r="E201" t="s">
        <v>37</v>
      </c>
      <c r="F201" t="str">
        <f>_xlfn.TEXTAFTER(Table1[[#This Row],[Campaign_Name]],"_")</f>
        <v>Tier2</v>
      </c>
      <c r="G201" t="str">
        <f>IF(ISNUMBER(SEARCH("Tier1",Table1[[#This Row],[Campaign_Name]])),"Tier1",IF(ISNUMBER(SEARCH("Tier2",Table1[[#This Row],[Campaign_Name]])),"Tier2","Not Applicable"))</f>
        <v>Tier2</v>
      </c>
      <c r="H201" t="s">
        <v>61</v>
      </c>
      <c r="I201" s="3">
        <v>415376</v>
      </c>
      <c r="J201" s="7">
        <v>7260800</v>
      </c>
      <c r="K201" s="7">
        <v>36304</v>
      </c>
      <c r="L201" s="7">
        <v>726</v>
      </c>
      <c r="M201" s="7">
        <v>58</v>
      </c>
      <c r="N201" s="2">
        <v>288898</v>
      </c>
      <c r="O201" s="6">
        <f>Table1[[#This Row],[Clicks]]/Table1[[#This Row],[Impressions]]</f>
        <v>5.0000000000000001E-3</v>
      </c>
      <c r="P201" s="6">
        <f>Table1[[#This Row],[Leads]]/Table1[[#This Row],[Clicks]]</f>
        <v>1.9997796386073161E-2</v>
      </c>
      <c r="Q201" s="6" t="str">
        <f>IF(Table1[[#This Row],[Conversion1]]&gt;=2%,"High","Low")</f>
        <v>Low</v>
      </c>
      <c r="R201" s="6">
        <f>IFERROR(Table1[[#This Row],[Orders]]/Table1[[#This Row],[Leads]],0)</f>
        <v>7.9889807162534437E-2</v>
      </c>
      <c r="S201" s="6" t="str">
        <f>IF(Table1[[#This Row],[Conversion2]]&gt;=15%,"High","Low")</f>
        <v>Low</v>
      </c>
      <c r="T201" s="4">
        <f>IFERROR(Table1[[#This Row],[Revenue]]/Table1[[#This Row],[Orders]],0)</f>
        <v>4981</v>
      </c>
      <c r="U201" s="4">
        <f>Table1[[#This Row],[Market_Budget]]/Table1[[#This Row],[Clicks]]</f>
        <v>11.44160423093874</v>
      </c>
      <c r="V201" s="4">
        <f>IFERROR(Table1[[#This Row],[Market_Budget]]/Table1[[#This Row],[Leads]],0)</f>
        <v>572.14325068870528</v>
      </c>
      <c r="W201" s="4">
        <f>IFERROR(Table1[[#This Row],[Market_Budget]]/Table1[[#This Row],[Orders]],0)</f>
        <v>7161.6551724137935</v>
      </c>
      <c r="X201" s="15">
        <f>(Table1[[#This Row],[Revenue]]-Table1[[#This Row],[Market_Budget]])/Table1[[#This Row],[Market_Budget]]</f>
        <v>-0.30449038943029927</v>
      </c>
      <c r="Y201" s="5">
        <f>Table1[[#This Row],[Revenue]]-Table1[[#This Row],[Market_Budget]]</f>
        <v>-126478</v>
      </c>
    </row>
    <row r="202" spans="1:25" x14ac:dyDescent="0.35">
      <c r="A202">
        <v>89459845</v>
      </c>
      <c r="B202" s="1">
        <v>44246</v>
      </c>
      <c r="C202" s="1" t="str">
        <f>TEXT(Table1[[#This Row],[Date]],"dddd")</f>
        <v>Friday</v>
      </c>
      <c r="D202" s="1" t="str">
        <f>IF(WEEKDAY(Table1[[#This Row],[Date]],2)&gt;5,"Weekend","Weekday")</f>
        <v>Weekday</v>
      </c>
      <c r="E202" t="s">
        <v>38</v>
      </c>
      <c r="F202" t="str">
        <f>_xlfn.TEXTAFTER(Table1[[#This Row],[Campaign_Name]],"_")</f>
        <v>Hot</v>
      </c>
      <c r="G202" t="str">
        <f>IF(ISNUMBER(SEARCH("Tier1",Table1[[#This Row],[Campaign_Name]])),"Tier1",IF(ISNUMBER(SEARCH("Tier2",Table1[[#This Row],[Campaign_Name]])),"Tier2","Not Applicable"))</f>
        <v>Not Applicable</v>
      </c>
      <c r="H202" t="s">
        <v>47</v>
      </c>
      <c r="I202" s="3">
        <v>9777.5499999999993</v>
      </c>
      <c r="J202" s="7">
        <v>413291</v>
      </c>
      <c r="K202" s="7">
        <v>9904</v>
      </c>
      <c r="L202" s="7">
        <v>14</v>
      </c>
      <c r="M202" s="7">
        <v>2</v>
      </c>
      <c r="N202" s="2">
        <v>15962</v>
      </c>
      <c r="O202" s="6">
        <f>Table1[[#This Row],[Clicks]]/Table1[[#This Row],[Impressions]]</f>
        <v>2.3963744673849659E-2</v>
      </c>
      <c r="P202" s="6">
        <f>Table1[[#This Row],[Leads]]/Table1[[#This Row],[Clicks]]</f>
        <v>1.4135702746365104E-3</v>
      </c>
      <c r="Q202" s="6" t="str">
        <f>IF(Table1[[#This Row],[Conversion1]]&gt;=2%,"High","Low")</f>
        <v>Low</v>
      </c>
      <c r="R202" s="6">
        <f>IFERROR(Table1[[#This Row],[Orders]]/Table1[[#This Row],[Leads]],0)</f>
        <v>0.14285714285714285</v>
      </c>
      <c r="S202" s="6" t="str">
        <f>IF(Table1[[#This Row],[Conversion2]]&gt;=15%,"High","Low")</f>
        <v>Low</v>
      </c>
      <c r="T202" s="4">
        <f>IFERROR(Table1[[#This Row],[Revenue]]/Table1[[#This Row],[Orders]],0)</f>
        <v>7981</v>
      </c>
      <c r="U202" s="4">
        <f>Table1[[#This Row],[Market_Budget]]/Table1[[#This Row],[Clicks]]</f>
        <v>0.98723243134087235</v>
      </c>
      <c r="V202" s="4">
        <f>IFERROR(Table1[[#This Row],[Market_Budget]]/Table1[[#This Row],[Leads]],0)</f>
        <v>698.39642857142849</v>
      </c>
      <c r="W202" s="4">
        <f>IFERROR(Table1[[#This Row],[Market_Budget]]/Table1[[#This Row],[Orders]],0)</f>
        <v>4888.7749999999996</v>
      </c>
      <c r="X202" s="15">
        <f>(Table1[[#This Row],[Revenue]]-Table1[[#This Row],[Market_Budget]])/Table1[[#This Row],[Market_Budget]]</f>
        <v>0.6325153029133066</v>
      </c>
      <c r="Y202" s="5">
        <f>Table1[[#This Row],[Revenue]]-Table1[[#This Row],[Market_Budget]]</f>
        <v>6184.4500000000007</v>
      </c>
    </row>
    <row r="203" spans="1:25" x14ac:dyDescent="0.35">
      <c r="A203">
        <v>127823</v>
      </c>
      <c r="B203" s="1">
        <v>44246</v>
      </c>
      <c r="C203" s="1" t="str">
        <f>TEXT(Table1[[#This Row],[Date]],"dddd")</f>
        <v>Friday</v>
      </c>
      <c r="D203" s="1" t="str">
        <f>IF(WEEKDAY(Table1[[#This Row],[Date]],2)&gt;5,"Weekend","Weekday")</f>
        <v>Weekday</v>
      </c>
      <c r="E203" t="s">
        <v>39</v>
      </c>
      <c r="F203" t="str">
        <f>_xlfn.TEXTAFTER(Table1[[#This Row],[Campaign_Name]],"_")</f>
        <v>Wide</v>
      </c>
      <c r="G203" t="str">
        <f>IF(ISNUMBER(SEARCH("Tier1",Table1[[#This Row],[Campaign_Name]])),"Tier1",IF(ISNUMBER(SEARCH("Tier2",Table1[[#This Row],[Campaign_Name]])),"Tier2","Not Applicable"))</f>
        <v>Not Applicable</v>
      </c>
      <c r="H203" t="s">
        <v>47</v>
      </c>
      <c r="I203" s="3">
        <v>81623.5</v>
      </c>
      <c r="J203" s="7">
        <v>8455475</v>
      </c>
      <c r="K203" s="7">
        <v>26406</v>
      </c>
      <c r="L203" s="7">
        <v>281</v>
      </c>
      <c r="M203" s="7">
        <v>20</v>
      </c>
      <c r="N203" s="2">
        <v>72300</v>
      </c>
      <c r="O203" s="6">
        <f>Table1[[#This Row],[Clicks]]/Table1[[#This Row],[Impressions]]</f>
        <v>3.122946966314725E-3</v>
      </c>
      <c r="P203" s="6">
        <f>Table1[[#This Row],[Leads]]/Table1[[#This Row],[Clicks]]</f>
        <v>1.0641520866469741E-2</v>
      </c>
      <c r="Q203" s="6" t="str">
        <f>IF(Table1[[#This Row],[Conversion1]]&gt;=2%,"High","Low")</f>
        <v>Low</v>
      </c>
      <c r="R203" s="6">
        <f>IFERROR(Table1[[#This Row],[Orders]]/Table1[[#This Row],[Leads]],0)</f>
        <v>7.1174377224199295E-2</v>
      </c>
      <c r="S203" s="6" t="str">
        <f>IF(Table1[[#This Row],[Conversion2]]&gt;=15%,"High","Low")</f>
        <v>Low</v>
      </c>
      <c r="T203" s="4">
        <f>IFERROR(Table1[[#This Row],[Revenue]]/Table1[[#This Row],[Orders]],0)</f>
        <v>3615</v>
      </c>
      <c r="U203" s="4">
        <f>Table1[[#This Row],[Market_Budget]]/Table1[[#This Row],[Clicks]]</f>
        <v>3.0910967204423239</v>
      </c>
      <c r="V203" s="4">
        <f>IFERROR(Table1[[#This Row],[Market_Budget]]/Table1[[#This Row],[Leads]],0)</f>
        <v>290.47508896797154</v>
      </c>
      <c r="W203" s="4">
        <f>IFERROR(Table1[[#This Row],[Market_Budget]]/Table1[[#This Row],[Orders]],0)</f>
        <v>4081.1750000000002</v>
      </c>
      <c r="X203" s="15">
        <f>(Table1[[#This Row],[Revenue]]-Table1[[#This Row],[Market_Budget]])/Table1[[#This Row],[Market_Budget]]</f>
        <v>-0.11422568255465644</v>
      </c>
      <c r="Y203" s="5">
        <f>Table1[[#This Row],[Revenue]]-Table1[[#This Row],[Market_Budget]]</f>
        <v>-9323.5</v>
      </c>
    </row>
    <row r="204" spans="1:25" x14ac:dyDescent="0.35">
      <c r="A204">
        <v>10934</v>
      </c>
      <c r="B204" s="1">
        <v>44246</v>
      </c>
      <c r="C204" s="1" t="str">
        <f>TEXT(Table1[[#This Row],[Date]],"dddd")</f>
        <v>Friday</v>
      </c>
      <c r="D204" s="1" t="str">
        <f>IF(WEEKDAY(Table1[[#This Row],[Date]],2)&gt;5,"Weekend","Weekday")</f>
        <v>Weekday</v>
      </c>
      <c r="E204" t="s">
        <v>40</v>
      </c>
      <c r="F204" t="str">
        <f>_xlfn.TEXTAFTER(Table1[[#This Row],[Campaign_Name]],"_")</f>
        <v>Blogger</v>
      </c>
      <c r="G204" t="str">
        <f>IF(ISNUMBER(SEARCH("Tier1",Table1[[#This Row],[Campaign_Name]])),"Tier1",IF(ISNUMBER(SEARCH("Tier2",Table1[[#This Row],[Campaign_Name]])),"Tier2","Not Applicable"))</f>
        <v>Not Applicable</v>
      </c>
      <c r="H204" t="s">
        <v>48</v>
      </c>
      <c r="I204" s="3">
        <v>880357</v>
      </c>
      <c r="J204" s="7">
        <v>3801165</v>
      </c>
      <c r="K204" s="7">
        <v>49510</v>
      </c>
      <c r="L204" s="7">
        <v>1666</v>
      </c>
      <c r="M204" s="7">
        <v>369</v>
      </c>
      <c r="N204" s="2">
        <v>2812520</v>
      </c>
      <c r="O204" s="6">
        <f>Table1[[#This Row],[Clicks]]/Table1[[#This Row],[Impressions]]</f>
        <v>1.3024954191675446E-2</v>
      </c>
      <c r="P204" s="6">
        <f>Table1[[#This Row],[Leads]]/Table1[[#This Row],[Clicks]]</f>
        <v>3.3649767723692187E-2</v>
      </c>
      <c r="Q204" s="6" t="str">
        <f>IF(Table1[[#This Row],[Conversion1]]&gt;=2%,"High","Low")</f>
        <v>High</v>
      </c>
      <c r="R204" s="6">
        <f>IFERROR(Table1[[#This Row],[Orders]]/Table1[[#This Row],[Leads]],0)</f>
        <v>0.22148859543817526</v>
      </c>
      <c r="S204" s="6" t="str">
        <f>IF(Table1[[#This Row],[Conversion2]]&gt;=15%,"High","Low")</f>
        <v>High</v>
      </c>
      <c r="T204" s="4">
        <f>IFERROR(Table1[[#This Row],[Revenue]]/Table1[[#This Row],[Orders]],0)</f>
        <v>7622.0054200542008</v>
      </c>
      <c r="U204" s="4">
        <f>Table1[[#This Row],[Market_Budget]]/Table1[[#This Row],[Clicks]]</f>
        <v>17.781397697434862</v>
      </c>
      <c r="V204" s="4">
        <f>IFERROR(Table1[[#This Row],[Market_Budget]]/Table1[[#This Row],[Leads]],0)</f>
        <v>528.42557022809126</v>
      </c>
      <c r="W204" s="4">
        <f>IFERROR(Table1[[#This Row],[Market_Budget]]/Table1[[#This Row],[Orders]],0)</f>
        <v>2385.791327913279</v>
      </c>
      <c r="X204" s="15">
        <f>(Table1[[#This Row],[Revenue]]-Table1[[#This Row],[Market_Budget]])/Table1[[#This Row],[Market_Budget]]</f>
        <v>2.1947494027990917</v>
      </c>
      <c r="Y204" s="5">
        <f>Table1[[#This Row],[Revenue]]-Table1[[#This Row],[Market_Budget]]</f>
        <v>1932163</v>
      </c>
    </row>
    <row r="205" spans="1:25" x14ac:dyDescent="0.35">
      <c r="A205">
        <v>9034945</v>
      </c>
      <c r="B205" s="1">
        <v>44246</v>
      </c>
      <c r="C205" s="1" t="str">
        <f>TEXT(Table1[[#This Row],[Date]],"dddd")</f>
        <v>Friday</v>
      </c>
      <c r="D205" s="1" t="str">
        <f>IF(WEEKDAY(Table1[[#This Row],[Date]],2)&gt;5,"Weekend","Weekday")</f>
        <v>Weekday</v>
      </c>
      <c r="E205" t="s">
        <v>41</v>
      </c>
      <c r="F205" t="str">
        <f>_xlfn.TEXTAFTER(Table1[[#This Row],[Campaign_Name]],"_")</f>
        <v>Tier1</v>
      </c>
      <c r="G205" t="str">
        <f>IF(ISNUMBER(SEARCH("Tier1",Table1[[#This Row],[Campaign_Name]])),"Tier1",IF(ISNUMBER(SEARCH("Tier2",Table1[[#This Row],[Campaign_Name]])),"Tier2","Not Applicable"))</f>
        <v>Tier1</v>
      </c>
      <c r="H205" t="s">
        <v>61</v>
      </c>
      <c r="I205" s="3">
        <v>300775</v>
      </c>
      <c r="J205" s="7">
        <v>6168252</v>
      </c>
      <c r="K205" s="7">
        <v>29699</v>
      </c>
      <c r="L205" s="7">
        <v>1082</v>
      </c>
      <c r="M205" s="7">
        <v>96</v>
      </c>
      <c r="N205" s="2">
        <v>574176</v>
      </c>
      <c r="O205" s="6">
        <f>Table1[[#This Row],[Clicks]]/Table1[[#This Row],[Impressions]]</f>
        <v>4.8148162558857843E-3</v>
      </c>
      <c r="P205" s="6">
        <f>Table1[[#This Row],[Leads]]/Table1[[#This Row],[Clicks]]</f>
        <v>3.6432203104481635E-2</v>
      </c>
      <c r="Q205" s="6" t="str">
        <f>IF(Table1[[#This Row],[Conversion1]]&gt;=2%,"High","Low")</f>
        <v>High</v>
      </c>
      <c r="R205" s="6">
        <f>IFERROR(Table1[[#This Row],[Orders]]/Table1[[#This Row],[Leads]],0)</f>
        <v>8.8724584103512014E-2</v>
      </c>
      <c r="S205" s="6" t="str">
        <f>IF(Table1[[#This Row],[Conversion2]]&gt;=15%,"High","Low")</f>
        <v>Low</v>
      </c>
      <c r="T205" s="4">
        <f>IFERROR(Table1[[#This Row],[Revenue]]/Table1[[#This Row],[Orders]],0)</f>
        <v>5981</v>
      </c>
      <c r="U205" s="4">
        <f>Table1[[#This Row],[Market_Budget]]/Table1[[#This Row],[Clicks]]</f>
        <v>10.127445368530926</v>
      </c>
      <c r="V205" s="4">
        <f>IFERROR(Table1[[#This Row],[Market_Budget]]/Table1[[#This Row],[Leads]],0)</f>
        <v>277.98059149722735</v>
      </c>
      <c r="W205" s="4">
        <f>IFERROR(Table1[[#This Row],[Market_Budget]]/Table1[[#This Row],[Orders]],0)</f>
        <v>3133.0729166666665</v>
      </c>
      <c r="X205" s="15">
        <f>(Table1[[#This Row],[Revenue]]-Table1[[#This Row],[Market_Budget]])/Table1[[#This Row],[Market_Budget]]</f>
        <v>0.90898844651317434</v>
      </c>
      <c r="Y205" s="5">
        <f>Table1[[#This Row],[Revenue]]-Table1[[#This Row],[Market_Budget]]</f>
        <v>273401</v>
      </c>
    </row>
    <row r="206" spans="1:25" x14ac:dyDescent="0.35">
      <c r="A206">
        <v>983498</v>
      </c>
      <c r="B206" s="1">
        <v>44246</v>
      </c>
      <c r="C206" s="1" t="str">
        <f>TEXT(Table1[[#This Row],[Date]],"dddd")</f>
        <v>Friday</v>
      </c>
      <c r="D206" s="1" t="str">
        <f>IF(WEEKDAY(Table1[[#This Row],[Date]],2)&gt;5,"Weekend","Weekday")</f>
        <v>Weekday</v>
      </c>
      <c r="E206" t="s">
        <v>42</v>
      </c>
      <c r="F206" t="str">
        <f>_xlfn.TEXTAFTER(Table1[[#This Row],[Campaign_Name]],"_")</f>
        <v>Tier2</v>
      </c>
      <c r="G206" t="str">
        <f>IF(ISNUMBER(SEARCH("Tier1",Table1[[#This Row],[Campaign_Name]])),"Tier1",IF(ISNUMBER(SEARCH("Tier2",Table1[[#This Row],[Campaign_Name]])),"Tier2","Not Applicable"))</f>
        <v>Tier2</v>
      </c>
      <c r="H206" t="s">
        <v>61</v>
      </c>
      <c r="I206" s="3">
        <v>9908.98</v>
      </c>
      <c r="J206" s="7">
        <v>11222000</v>
      </c>
      <c r="K206" s="7">
        <v>56110</v>
      </c>
      <c r="L206" s="7">
        <v>185</v>
      </c>
      <c r="M206" s="7">
        <v>3</v>
      </c>
      <c r="N206" s="2">
        <v>3621</v>
      </c>
      <c r="O206" s="6">
        <f>Table1[[#This Row],[Clicks]]/Table1[[#This Row],[Impressions]]</f>
        <v>5.0000000000000001E-3</v>
      </c>
      <c r="P206" s="6">
        <f>Table1[[#This Row],[Leads]]/Table1[[#This Row],[Clicks]]</f>
        <v>3.2970949919800393E-3</v>
      </c>
      <c r="Q206" s="6" t="str">
        <f>IF(Table1[[#This Row],[Conversion1]]&gt;=2%,"High","Low")</f>
        <v>Low</v>
      </c>
      <c r="R206" s="6">
        <f>IFERROR(Table1[[#This Row],[Orders]]/Table1[[#This Row],[Leads]],0)</f>
        <v>1.6216216216216217E-2</v>
      </c>
      <c r="S206" s="6" t="str">
        <f>IF(Table1[[#This Row],[Conversion2]]&gt;=15%,"High","Low")</f>
        <v>Low</v>
      </c>
      <c r="T206" s="4">
        <f>IFERROR(Table1[[#This Row],[Revenue]]/Table1[[#This Row],[Orders]],0)</f>
        <v>1207</v>
      </c>
      <c r="U206" s="4">
        <f>Table1[[#This Row],[Market_Budget]]/Table1[[#This Row],[Clicks]]</f>
        <v>0.17659918018178578</v>
      </c>
      <c r="V206" s="4">
        <f>IFERROR(Table1[[#This Row],[Market_Budget]]/Table1[[#This Row],[Leads]],0)</f>
        <v>53.562054054054052</v>
      </c>
      <c r="W206" s="4">
        <f>IFERROR(Table1[[#This Row],[Market_Budget]]/Table1[[#This Row],[Orders]],0)</f>
        <v>3302.9933333333333</v>
      </c>
      <c r="X206" s="15">
        <f>(Table1[[#This Row],[Revenue]]-Table1[[#This Row],[Market_Budget]])/Table1[[#This Row],[Market_Budget]]</f>
        <v>-0.63457389156098809</v>
      </c>
      <c r="Y206" s="5">
        <f>Table1[[#This Row],[Revenue]]-Table1[[#This Row],[Market_Budget]]</f>
        <v>-6287.98</v>
      </c>
    </row>
    <row r="207" spans="1:25" x14ac:dyDescent="0.35">
      <c r="A207">
        <v>4387490</v>
      </c>
      <c r="B207" s="1">
        <v>44246</v>
      </c>
      <c r="C207" s="1" t="str">
        <f>TEXT(Table1[[#This Row],[Date]],"dddd")</f>
        <v>Friday</v>
      </c>
      <c r="D207" s="1" t="str">
        <f>IF(WEEKDAY(Table1[[#This Row],[Date]],2)&gt;5,"Weekend","Weekday")</f>
        <v>Weekday</v>
      </c>
      <c r="E207" t="s">
        <v>43</v>
      </c>
      <c r="F207" t="str">
        <f>_xlfn.TEXTAFTER(Table1[[#This Row],[Campaign_Name]],"_")</f>
        <v>Retargeting</v>
      </c>
      <c r="G207" t="str">
        <f>IF(ISNUMBER(SEARCH("Tier1",Table1[[#This Row],[Campaign_Name]])),"Tier1",IF(ISNUMBER(SEARCH("Tier2",Table1[[#This Row],[Campaign_Name]])),"Tier2","Not Applicable"))</f>
        <v>Not Applicable</v>
      </c>
      <c r="H207" t="s">
        <v>61</v>
      </c>
      <c r="I207" s="3">
        <v>3173.41</v>
      </c>
      <c r="J207" s="7">
        <v>115166</v>
      </c>
      <c r="K207" s="7">
        <v>3297</v>
      </c>
      <c r="L207" s="7">
        <v>7</v>
      </c>
      <c r="M207" s="7">
        <v>1</v>
      </c>
      <c r="N207" s="2">
        <v>5199</v>
      </c>
      <c r="O207" s="6">
        <f>Table1[[#This Row],[Clicks]]/Table1[[#This Row],[Impressions]]</f>
        <v>2.8628240973898548E-2</v>
      </c>
      <c r="P207" s="6">
        <f>Table1[[#This Row],[Leads]]/Table1[[#This Row],[Clicks]]</f>
        <v>2.1231422505307855E-3</v>
      </c>
      <c r="Q207" s="6" t="str">
        <f>IF(Table1[[#This Row],[Conversion1]]&gt;=2%,"High","Low")</f>
        <v>Low</v>
      </c>
      <c r="R207" s="6">
        <f>IFERROR(Table1[[#This Row],[Orders]]/Table1[[#This Row],[Leads]],0)</f>
        <v>0.14285714285714285</v>
      </c>
      <c r="S207" s="6" t="str">
        <f>IF(Table1[[#This Row],[Conversion2]]&gt;=15%,"High","Low")</f>
        <v>Low</v>
      </c>
      <c r="T207" s="4">
        <f>IFERROR(Table1[[#This Row],[Revenue]]/Table1[[#This Row],[Orders]],0)</f>
        <v>5199</v>
      </c>
      <c r="U207" s="4">
        <f>Table1[[#This Row],[Market_Budget]]/Table1[[#This Row],[Clicks]]</f>
        <v>0.96251440703669999</v>
      </c>
      <c r="V207" s="4">
        <f>IFERROR(Table1[[#This Row],[Market_Budget]]/Table1[[#This Row],[Leads]],0)</f>
        <v>453.34428571428572</v>
      </c>
      <c r="W207" s="4">
        <f>IFERROR(Table1[[#This Row],[Market_Budget]]/Table1[[#This Row],[Orders]],0)</f>
        <v>3173.41</v>
      </c>
      <c r="X207" s="15">
        <f>(Table1[[#This Row],[Revenue]]-Table1[[#This Row],[Market_Budget]])/Table1[[#This Row],[Market_Budget]]</f>
        <v>0.63830075533889419</v>
      </c>
      <c r="Y207" s="5">
        <f>Table1[[#This Row],[Revenue]]-Table1[[#This Row],[Market_Budget]]</f>
        <v>2025.5900000000001</v>
      </c>
    </row>
    <row r="208" spans="1:25" x14ac:dyDescent="0.35">
      <c r="A208">
        <v>544756</v>
      </c>
      <c r="B208" s="1">
        <v>44246</v>
      </c>
      <c r="C208" s="1" t="str">
        <f>TEXT(Table1[[#This Row],[Date]],"dddd")</f>
        <v>Friday</v>
      </c>
      <c r="D208" s="1" t="str">
        <f>IF(WEEKDAY(Table1[[#This Row],[Date]],2)&gt;5,"Weekend","Weekday")</f>
        <v>Weekday</v>
      </c>
      <c r="E208" t="s">
        <v>44</v>
      </c>
      <c r="F208" t="str">
        <f>_xlfn.TEXTAFTER(Table1[[#This Row],[Campaign_Name]],"_")</f>
        <v>Lal</v>
      </c>
      <c r="G208" t="str">
        <f>IF(ISNUMBER(SEARCH("Tier1",Table1[[#This Row],[Campaign_Name]])),"Tier1",IF(ISNUMBER(SEARCH("Tier2",Table1[[#This Row],[Campaign_Name]])),"Tier2","Not Applicable"))</f>
        <v>Not Applicable</v>
      </c>
      <c r="H208" t="s">
        <v>61</v>
      </c>
      <c r="I208" s="3">
        <v>440355</v>
      </c>
      <c r="J208" s="7">
        <v>1320200</v>
      </c>
      <c r="K208" s="7">
        <v>13202</v>
      </c>
      <c r="L208" s="7">
        <v>264</v>
      </c>
      <c r="M208" s="7">
        <v>45</v>
      </c>
      <c r="N208" s="2">
        <v>80325</v>
      </c>
      <c r="O208" s="6">
        <f>Table1[[#This Row],[Clicks]]/Table1[[#This Row],[Impressions]]</f>
        <v>0.01</v>
      </c>
      <c r="P208" s="6">
        <f>Table1[[#This Row],[Leads]]/Table1[[#This Row],[Clicks]]</f>
        <v>1.9996970156036964E-2</v>
      </c>
      <c r="Q208" s="6" t="str">
        <f>IF(Table1[[#This Row],[Conversion1]]&gt;=2%,"High","Low")</f>
        <v>Low</v>
      </c>
      <c r="R208" s="6">
        <f>IFERROR(Table1[[#This Row],[Orders]]/Table1[[#This Row],[Leads]],0)</f>
        <v>0.17045454545454544</v>
      </c>
      <c r="S208" s="6" t="str">
        <f>IF(Table1[[#This Row],[Conversion2]]&gt;=15%,"High","Low")</f>
        <v>High</v>
      </c>
      <c r="T208" s="4">
        <f>IFERROR(Table1[[#This Row],[Revenue]]/Table1[[#This Row],[Orders]],0)</f>
        <v>1785</v>
      </c>
      <c r="U208" s="4">
        <f>Table1[[#This Row],[Market_Budget]]/Table1[[#This Row],[Clicks]]</f>
        <v>33.355173458566881</v>
      </c>
      <c r="V208" s="4">
        <f>IFERROR(Table1[[#This Row],[Market_Budget]]/Table1[[#This Row],[Leads]],0)</f>
        <v>1668.0113636363637</v>
      </c>
      <c r="W208" s="4">
        <f>IFERROR(Table1[[#This Row],[Market_Budget]]/Table1[[#This Row],[Orders]],0)</f>
        <v>9785.6666666666661</v>
      </c>
      <c r="X208" s="15">
        <f>(Table1[[#This Row],[Revenue]]-Table1[[#This Row],[Market_Budget]])/Table1[[#This Row],[Market_Budget]]</f>
        <v>-0.81759035323772866</v>
      </c>
      <c r="Y208" s="5">
        <f>Table1[[#This Row],[Revenue]]-Table1[[#This Row],[Market_Budget]]</f>
        <v>-360030</v>
      </c>
    </row>
    <row r="209" spans="1:25" x14ac:dyDescent="0.35">
      <c r="A209">
        <v>374754</v>
      </c>
      <c r="B209" s="1">
        <v>44246</v>
      </c>
      <c r="C209" s="1" t="str">
        <f>TEXT(Table1[[#This Row],[Date]],"dddd")</f>
        <v>Friday</v>
      </c>
      <c r="D209" s="1" t="str">
        <f>IF(WEEKDAY(Table1[[#This Row],[Date]],2)&gt;5,"Weekend","Weekday")</f>
        <v>Weekday</v>
      </c>
      <c r="E209" t="s">
        <v>45</v>
      </c>
      <c r="F209" t="str">
        <f>_xlfn.TEXTAFTER(Table1[[#This Row],[Campaign_Name]],"_")</f>
        <v>Blogger</v>
      </c>
      <c r="G209" t="str">
        <f>IF(ISNUMBER(SEARCH("Tier1",Table1[[#This Row],[Campaign_Name]])),"Tier1",IF(ISNUMBER(SEARCH("Tier2",Table1[[#This Row],[Campaign_Name]])),"Tier2","Not Applicable"))</f>
        <v>Not Applicable</v>
      </c>
      <c r="H209" t="s">
        <v>48</v>
      </c>
      <c r="I209" s="3">
        <v>404285</v>
      </c>
      <c r="J209" s="7">
        <v>3299900</v>
      </c>
      <c r="K209" s="7">
        <v>32999</v>
      </c>
      <c r="L209" s="7">
        <v>694</v>
      </c>
      <c r="M209" s="7">
        <v>104</v>
      </c>
      <c r="N209" s="2">
        <v>519272</v>
      </c>
      <c r="O209" s="6">
        <f>Table1[[#This Row],[Clicks]]/Table1[[#This Row],[Impressions]]</f>
        <v>0.01</v>
      </c>
      <c r="P209" s="6">
        <f>Table1[[#This Row],[Leads]]/Table1[[#This Row],[Clicks]]</f>
        <v>2.1030940331525198E-2</v>
      </c>
      <c r="Q209" s="6" t="str">
        <f>IF(Table1[[#This Row],[Conversion1]]&gt;=2%,"High","Low")</f>
        <v>High</v>
      </c>
      <c r="R209" s="6">
        <f>IFERROR(Table1[[#This Row],[Orders]]/Table1[[#This Row],[Leads]],0)</f>
        <v>0.14985590778097982</v>
      </c>
      <c r="S209" s="6" t="str">
        <f>IF(Table1[[#This Row],[Conversion2]]&gt;=15%,"High","Low")</f>
        <v>Low</v>
      </c>
      <c r="T209" s="4">
        <f>IFERROR(Table1[[#This Row],[Revenue]]/Table1[[#This Row],[Orders]],0)</f>
        <v>4993</v>
      </c>
      <c r="U209" s="4">
        <f>Table1[[#This Row],[Market_Budget]]/Table1[[#This Row],[Clicks]]</f>
        <v>12.251431861571563</v>
      </c>
      <c r="V209" s="4">
        <f>IFERROR(Table1[[#This Row],[Market_Budget]]/Table1[[#This Row],[Leads]],0)</f>
        <v>582.54322766570601</v>
      </c>
      <c r="W209" s="4">
        <f>IFERROR(Table1[[#This Row],[Market_Budget]]/Table1[[#This Row],[Orders]],0)</f>
        <v>3887.3557692307691</v>
      </c>
      <c r="X209" s="15">
        <f>(Table1[[#This Row],[Revenue]]-Table1[[#This Row],[Market_Budget]])/Table1[[#This Row],[Market_Budget]]</f>
        <v>0.28442064385272764</v>
      </c>
      <c r="Y209" s="5">
        <f>Table1[[#This Row],[Revenue]]-Table1[[#This Row],[Market_Budget]]</f>
        <v>114987</v>
      </c>
    </row>
    <row r="210" spans="1:25" x14ac:dyDescent="0.35">
      <c r="A210">
        <v>39889</v>
      </c>
      <c r="B210" s="1">
        <v>44246</v>
      </c>
      <c r="C210" s="1" t="str">
        <f>TEXT(Table1[[#This Row],[Date]],"dddd")</f>
        <v>Friday</v>
      </c>
      <c r="D210" s="1" t="str">
        <f>IF(WEEKDAY(Table1[[#This Row],[Date]],2)&gt;5,"Weekend","Weekday")</f>
        <v>Weekday</v>
      </c>
      <c r="E210" t="s">
        <v>46</v>
      </c>
      <c r="F210" t="str">
        <f>_xlfn.TEXTAFTER(Table1[[#This Row],[Campaign_Name]],"_")</f>
        <v>Partner</v>
      </c>
      <c r="G210" t="str">
        <f>IF(ISNUMBER(SEARCH("Tier1",Table1[[#This Row],[Campaign_Name]])),"Tier1",IF(ISNUMBER(SEARCH("Tier2",Table1[[#This Row],[Campaign_Name]])),"Tier2","Not Applicable"))</f>
        <v>Not Applicable</v>
      </c>
      <c r="H210" t="s">
        <v>62</v>
      </c>
      <c r="I210" s="3">
        <v>492126</v>
      </c>
      <c r="J210" s="7">
        <v>19065489</v>
      </c>
      <c r="K210" s="7">
        <v>46209</v>
      </c>
      <c r="L210" s="7">
        <v>924</v>
      </c>
      <c r="M210" s="7">
        <v>139</v>
      </c>
      <c r="N210" s="2">
        <v>556417</v>
      </c>
      <c r="O210" s="6">
        <f>Table1[[#This Row],[Clicks]]/Table1[[#This Row],[Impressions]]</f>
        <v>2.4236986525758663E-3</v>
      </c>
      <c r="P210" s="6">
        <f>Table1[[#This Row],[Leads]]/Table1[[#This Row],[Clicks]]</f>
        <v>1.9996104654937352E-2</v>
      </c>
      <c r="Q210" s="6" t="str">
        <f>IF(Table1[[#This Row],[Conversion1]]&gt;=2%,"High","Low")</f>
        <v>Low</v>
      </c>
      <c r="R210" s="6">
        <f>IFERROR(Table1[[#This Row],[Orders]]/Table1[[#This Row],[Leads]],0)</f>
        <v>0.15043290043290045</v>
      </c>
      <c r="S210" s="6" t="str">
        <f>IF(Table1[[#This Row],[Conversion2]]&gt;=15%,"High","Low")</f>
        <v>High</v>
      </c>
      <c r="T210" s="4">
        <f>IFERROR(Table1[[#This Row],[Revenue]]/Table1[[#This Row],[Orders]],0)</f>
        <v>4003</v>
      </c>
      <c r="U210" s="4">
        <f>Table1[[#This Row],[Market_Budget]]/Table1[[#This Row],[Clicks]]</f>
        <v>10.650003246120885</v>
      </c>
      <c r="V210" s="4">
        <f>IFERROR(Table1[[#This Row],[Market_Budget]]/Table1[[#This Row],[Leads]],0)</f>
        <v>532.60389610389609</v>
      </c>
      <c r="W210" s="4">
        <f>IFERROR(Table1[[#This Row],[Market_Budget]]/Table1[[#This Row],[Orders]],0)</f>
        <v>3540.4748201438847</v>
      </c>
      <c r="X210" s="15">
        <f>(Table1[[#This Row],[Revenue]]-Table1[[#This Row],[Market_Budget]])/Table1[[#This Row],[Market_Budget]]</f>
        <v>0.13063930781954214</v>
      </c>
      <c r="Y210" s="5">
        <f>Table1[[#This Row],[Revenue]]-Table1[[#This Row],[Market_Budget]]</f>
        <v>64291</v>
      </c>
    </row>
    <row r="211" spans="1:25" x14ac:dyDescent="0.35">
      <c r="A211">
        <v>349043</v>
      </c>
      <c r="B211" s="1">
        <v>44247</v>
      </c>
      <c r="C211" s="1" t="str">
        <f>TEXT(Table1[[#This Row],[Date]],"dddd")</f>
        <v>Saturday</v>
      </c>
      <c r="D211" s="1" t="str">
        <f>IF(WEEKDAY(Table1[[#This Row],[Date]],2)&gt;5,"Weekend","Weekday")</f>
        <v>Weekend</v>
      </c>
      <c r="E211" t="s">
        <v>36</v>
      </c>
      <c r="F211" t="str">
        <f>_xlfn.TEXTAFTER(Table1[[#This Row],[Campaign_Name]],"_")</f>
        <v>Tier1</v>
      </c>
      <c r="G211" t="str">
        <f>IF(ISNUMBER(SEARCH("Tier1",Table1[[#This Row],[Campaign_Name]])),"Tier1",IF(ISNUMBER(SEARCH("Tier2",Table1[[#This Row],[Campaign_Name]])),"Tier2","Not Applicable"))</f>
        <v>Tier1</v>
      </c>
      <c r="H211" t="s">
        <v>61</v>
      </c>
      <c r="I211" s="3">
        <v>56874.2</v>
      </c>
      <c r="J211" s="7">
        <v>9916906</v>
      </c>
      <c r="K211" s="7">
        <v>28796</v>
      </c>
      <c r="L211" s="7">
        <v>88</v>
      </c>
      <c r="M211" s="7">
        <v>12</v>
      </c>
      <c r="N211" s="2">
        <v>59772</v>
      </c>
      <c r="O211" s="6">
        <f>Table1[[#This Row],[Clicks]]/Table1[[#This Row],[Impressions]]</f>
        <v>2.9037282394327422E-3</v>
      </c>
      <c r="P211" s="6">
        <f>Table1[[#This Row],[Leads]]/Table1[[#This Row],[Clicks]]</f>
        <v>3.0559799972218363E-3</v>
      </c>
      <c r="Q211" s="6" t="str">
        <f>IF(Table1[[#This Row],[Conversion1]]&gt;=2%,"High","Low")</f>
        <v>Low</v>
      </c>
      <c r="R211" s="6">
        <f>IFERROR(Table1[[#This Row],[Orders]]/Table1[[#This Row],[Leads]],0)</f>
        <v>0.13636363636363635</v>
      </c>
      <c r="S211" s="6" t="str">
        <f>IF(Table1[[#This Row],[Conversion2]]&gt;=15%,"High","Low")</f>
        <v>Low</v>
      </c>
      <c r="T211" s="4">
        <f>IFERROR(Table1[[#This Row],[Revenue]]/Table1[[#This Row],[Orders]],0)</f>
        <v>4981</v>
      </c>
      <c r="U211" s="4">
        <f>Table1[[#This Row],[Market_Budget]]/Table1[[#This Row],[Clicks]]</f>
        <v>1.9750729267953882</v>
      </c>
      <c r="V211" s="4">
        <f>IFERROR(Table1[[#This Row],[Market_Budget]]/Table1[[#This Row],[Leads]],0)</f>
        <v>646.29772727272723</v>
      </c>
      <c r="W211" s="4">
        <f>IFERROR(Table1[[#This Row],[Market_Budget]]/Table1[[#This Row],[Orders]],0)</f>
        <v>4739.5166666666664</v>
      </c>
      <c r="X211" s="15">
        <f>(Table1[[#This Row],[Revenue]]-Table1[[#This Row],[Market_Budget]])/Table1[[#This Row],[Market_Budget]]</f>
        <v>5.0951046344388191E-2</v>
      </c>
      <c r="Y211" s="5">
        <f>Table1[[#This Row],[Revenue]]-Table1[[#This Row],[Market_Budget]]</f>
        <v>2897.8000000000029</v>
      </c>
    </row>
    <row r="212" spans="1:25" x14ac:dyDescent="0.35">
      <c r="A212">
        <v>348934</v>
      </c>
      <c r="B212" s="1">
        <v>44247</v>
      </c>
      <c r="C212" s="1" t="str">
        <f>TEXT(Table1[[#This Row],[Date]],"dddd")</f>
        <v>Saturday</v>
      </c>
      <c r="D212" s="1" t="str">
        <f>IF(WEEKDAY(Table1[[#This Row],[Date]],2)&gt;5,"Weekend","Weekday")</f>
        <v>Weekend</v>
      </c>
      <c r="E212" t="s">
        <v>37</v>
      </c>
      <c r="F212" t="str">
        <f>_xlfn.TEXTAFTER(Table1[[#This Row],[Campaign_Name]],"_")</f>
        <v>Tier2</v>
      </c>
      <c r="G212" t="str">
        <f>IF(ISNUMBER(SEARCH("Tier1",Table1[[#This Row],[Campaign_Name]])),"Tier1",IF(ISNUMBER(SEARCH("Tier2",Table1[[#This Row],[Campaign_Name]])),"Tier2","Not Applicable"))</f>
        <v>Tier2</v>
      </c>
      <c r="H212" t="s">
        <v>61</v>
      </c>
      <c r="I212" s="3">
        <v>455831</v>
      </c>
      <c r="J212" s="7">
        <v>7918600</v>
      </c>
      <c r="K212" s="7">
        <v>39593</v>
      </c>
      <c r="L212" s="7">
        <v>853</v>
      </c>
      <c r="M212" s="7">
        <v>68</v>
      </c>
      <c r="N212" s="2">
        <v>387124</v>
      </c>
      <c r="O212" s="6">
        <f>Table1[[#This Row],[Clicks]]/Table1[[#This Row],[Impressions]]</f>
        <v>5.0000000000000001E-3</v>
      </c>
      <c r="P212" s="6">
        <f>Table1[[#This Row],[Leads]]/Table1[[#This Row],[Clicks]]</f>
        <v>2.1544212360770844E-2</v>
      </c>
      <c r="Q212" s="6" t="str">
        <f>IF(Table1[[#This Row],[Conversion1]]&gt;=2%,"High","Low")</f>
        <v>High</v>
      </c>
      <c r="R212" s="6">
        <f>IFERROR(Table1[[#This Row],[Orders]]/Table1[[#This Row],[Leads]],0)</f>
        <v>7.9718640093786639E-2</v>
      </c>
      <c r="S212" s="6" t="str">
        <f>IF(Table1[[#This Row],[Conversion2]]&gt;=15%,"High","Low")</f>
        <v>Low</v>
      </c>
      <c r="T212" s="4">
        <f>IFERROR(Table1[[#This Row],[Revenue]]/Table1[[#This Row],[Orders]],0)</f>
        <v>5693</v>
      </c>
      <c r="U212" s="4">
        <f>Table1[[#This Row],[Market_Budget]]/Table1[[#This Row],[Clicks]]</f>
        <v>11.5129189503195</v>
      </c>
      <c r="V212" s="4">
        <f>IFERROR(Table1[[#This Row],[Market_Budget]]/Table1[[#This Row],[Leads]],0)</f>
        <v>534.38569753810077</v>
      </c>
      <c r="W212" s="4">
        <f>IFERROR(Table1[[#This Row],[Market_Budget]]/Table1[[#This Row],[Orders]],0)</f>
        <v>6703.3970588235297</v>
      </c>
      <c r="X212" s="15">
        <f>(Table1[[#This Row],[Revenue]]-Table1[[#This Row],[Market_Budget]])/Table1[[#This Row],[Market_Budget]]</f>
        <v>-0.15072910793693275</v>
      </c>
      <c r="Y212" s="5">
        <f>Table1[[#This Row],[Revenue]]-Table1[[#This Row],[Market_Budget]]</f>
        <v>-68707</v>
      </c>
    </row>
    <row r="213" spans="1:25" x14ac:dyDescent="0.35">
      <c r="A213">
        <v>89459845</v>
      </c>
      <c r="B213" s="1">
        <v>44247</v>
      </c>
      <c r="C213" s="1" t="str">
        <f>TEXT(Table1[[#This Row],[Date]],"dddd")</f>
        <v>Saturday</v>
      </c>
      <c r="D213" s="1" t="str">
        <f>IF(WEEKDAY(Table1[[#This Row],[Date]],2)&gt;5,"Weekend","Weekday")</f>
        <v>Weekend</v>
      </c>
      <c r="E213" t="s">
        <v>38</v>
      </c>
      <c r="F213" t="str">
        <f>_xlfn.TEXTAFTER(Table1[[#This Row],[Campaign_Name]],"_")</f>
        <v>Hot</v>
      </c>
      <c r="G213" t="str">
        <f>IF(ISNUMBER(SEARCH("Tier1",Table1[[#This Row],[Campaign_Name]])),"Tier1",IF(ISNUMBER(SEARCH("Tier2",Table1[[#This Row],[Campaign_Name]])),"Tier2","Not Applicable"))</f>
        <v>Not Applicable</v>
      </c>
      <c r="H213" t="s">
        <v>47</v>
      </c>
      <c r="I213" s="3">
        <v>190469</v>
      </c>
      <c r="J213" s="7">
        <v>540450</v>
      </c>
      <c r="K213" s="7">
        <v>10809</v>
      </c>
      <c r="L213" s="7">
        <v>359</v>
      </c>
      <c r="M213" s="7">
        <v>47</v>
      </c>
      <c r="N213" s="2">
        <v>365378</v>
      </c>
      <c r="O213" s="6">
        <f>Table1[[#This Row],[Clicks]]/Table1[[#This Row],[Impressions]]</f>
        <v>0.02</v>
      </c>
      <c r="P213" s="6">
        <f>Table1[[#This Row],[Leads]]/Table1[[#This Row],[Clicks]]</f>
        <v>3.3213063188084001E-2</v>
      </c>
      <c r="Q213" s="6" t="str">
        <f>IF(Table1[[#This Row],[Conversion1]]&gt;=2%,"High","Low")</f>
        <v>High</v>
      </c>
      <c r="R213" s="6">
        <f>IFERROR(Table1[[#This Row],[Orders]]/Table1[[#This Row],[Leads]],0)</f>
        <v>0.1309192200557103</v>
      </c>
      <c r="S213" s="6" t="str">
        <f>IF(Table1[[#This Row],[Conversion2]]&gt;=15%,"High","Low")</f>
        <v>Low</v>
      </c>
      <c r="T213" s="4">
        <f>IFERROR(Table1[[#This Row],[Revenue]]/Table1[[#This Row],[Orders]],0)</f>
        <v>7774</v>
      </c>
      <c r="U213" s="4">
        <f>Table1[[#This Row],[Market_Budget]]/Table1[[#This Row],[Clicks]]</f>
        <v>17.621334073457305</v>
      </c>
      <c r="V213" s="4">
        <f>IFERROR(Table1[[#This Row],[Market_Budget]]/Table1[[#This Row],[Leads]],0)</f>
        <v>530.55431754874655</v>
      </c>
      <c r="W213" s="4">
        <f>IFERROR(Table1[[#This Row],[Market_Budget]]/Table1[[#This Row],[Orders]],0)</f>
        <v>4052.5319148936169</v>
      </c>
      <c r="X213" s="15">
        <f>(Table1[[#This Row],[Revenue]]-Table1[[#This Row],[Market_Budget]])/Table1[[#This Row],[Market_Budget]]</f>
        <v>0.91830691608608228</v>
      </c>
      <c r="Y213" s="5">
        <f>Table1[[#This Row],[Revenue]]-Table1[[#This Row],[Market_Budget]]</f>
        <v>174909</v>
      </c>
    </row>
    <row r="214" spans="1:25" x14ac:dyDescent="0.35">
      <c r="A214">
        <v>127823</v>
      </c>
      <c r="B214" s="1">
        <v>44247</v>
      </c>
      <c r="C214" s="1" t="str">
        <f>TEXT(Table1[[#This Row],[Date]],"dddd")</f>
        <v>Saturday</v>
      </c>
      <c r="D214" s="1" t="str">
        <f>IF(WEEKDAY(Table1[[#This Row],[Date]],2)&gt;5,"Weekend","Weekday")</f>
        <v>Weekend</v>
      </c>
      <c r="E214" t="s">
        <v>39</v>
      </c>
      <c r="F214" t="str">
        <f>_xlfn.TEXTAFTER(Table1[[#This Row],[Campaign_Name]],"_")</f>
        <v>Wide</v>
      </c>
      <c r="G214" t="str">
        <f>IF(ISNUMBER(SEARCH("Tier1",Table1[[#This Row],[Campaign_Name]])),"Tier1",IF(ISNUMBER(SEARCH("Tier2",Table1[[#This Row],[Campaign_Name]])),"Tier2","Not Applicable"))</f>
        <v>Not Applicable</v>
      </c>
      <c r="H214" t="s">
        <v>47</v>
      </c>
      <c r="I214" s="3">
        <v>435770</v>
      </c>
      <c r="J214" s="7">
        <v>5762000</v>
      </c>
      <c r="K214" s="7">
        <v>28810</v>
      </c>
      <c r="L214" s="7">
        <v>732</v>
      </c>
      <c r="M214" s="7">
        <v>96</v>
      </c>
      <c r="N214" s="2">
        <v>253440</v>
      </c>
      <c r="O214" s="6">
        <f>Table1[[#This Row],[Clicks]]/Table1[[#This Row],[Impressions]]</f>
        <v>5.0000000000000001E-3</v>
      </c>
      <c r="P214" s="6">
        <f>Table1[[#This Row],[Leads]]/Table1[[#This Row],[Clicks]]</f>
        <v>2.5407844498438043E-2</v>
      </c>
      <c r="Q214" s="6" t="str">
        <f>IF(Table1[[#This Row],[Conversion1]]&gt;=2%,"High","Low")</f>
        <v>High</v>
      </c>
      <c r="R214" s="6">
        <f>IFERROR(Table1[[#This Row],[Orders]]/Table1[[#This Row],[Leads]],0)</f>
        <v>0.13114754098360656</v>
      </c>
      <c r="S214" s="6" t="str">
        <f>IF(Table1[[#This Row],[Conversion2]]&gt;=15%,"High","Low")</f>
        <v>Low</v>
      </c>
      <c r="T214" s="4">
        <f>IFERROR(Table1[[#This Row],[Revenue]]/Table1[[#This Row],[Orders]],0)</f>
        <v>2640</v>
      </c>
      <c r="U214" s="4">
        <f>Table1[[#This Row],[Market_Budget]]/Table1[[#This Row],[Clicks]]</f>
        <v>15.125650815688997</v>
      </c>
      <c r="V214" s="4">
        <f>IFERROR(Table1[[#This Row],[Market_Budget]]/Table1[[#This Row],[Leads]],0)</f>
        <v>595.31420765027326</v>
      </c>
      <c r="W214" s="4">
        <f>IFERROR(Table1[[#This Row],[Market_Budget]]/Table1[[#This Row],[Orders]],0)</f>
        <v>4539.270833333333</v>
      </c>
      <c r="X214" s="15">
        <f>(Table1[[#This Row],[Revenue]]-Table1[[#This Row],[Market_Budget]])/Table1[[#This Row],[Market_Budget]]</f>
        <v>-0.41840879362966704</v>
      </c>
      <c r="Y214" s="5">
        <f>Table1[[#This Row],[Revenue]]-Table1[[#This Row],[Market_Budget]]</f>
        <v>-182330</v>
      </c>
    </row>
    <row r="215" spans="1:25" x14ac:dyDescent="0.35">
      <c r="A215">
        <v>10934</v>
      </c>
      <c r="B215" s="1">
        <v>44247</v>
      </c>
      <c r="C215" s="1" t="str">
        <f>TEXT(Table1[[#This Row],[Date]],"dddd")</f>
        <v>Saturday</v>
      </c>
      <c r="D215" s="1" t="str">
        <f>IF(WEEKDAY(Table1[[#This Row],[Date]],2)&gt;5,"Weekend","Weekday")</f>
        <v>Weekend</v>
      </c>
      <c r="E215" t="s">
        <v>40</v>
      </c>
      <c r="F215" t="str">
        <f>_xlfn.TEXTAFTER(Table1[[#This Row],[Campaign_Name]],"_")</f>
        <v>Blogger</v>
      </c>
      <c r="G215" t="str">
        <f>IF(ISNUMBER(SEARCH("Tier1",Table1[[#This Row],[Campaign_Name]])),"Tier1",IF(ISNUMBER(SEARCH("Tier2",Table1[[#This Row],[Campaign_Name]])),"Tier2","Not Applicable"))</f>
        <v>Not Applicable</v>
      </c>
      <c r="H215" t="s">
        <v>48</v>
      </c>
      <c r="I215" s="3">
        <v>303860</v>
      </c>
      <c r="J215" s="7">
        <v>5399300</v>
      </c>
      <c r="K215" s="7">
        <v>53993</v>
      </c>
      <c r="L215" s="7">
        <v>1094</v>
      </c>
      <c r="M215" s="7">
        <v>182</v>
      </c>
      <c r="N215" s="2">
        <v>1452540</v>
      </c>
      <c r="O215" s="6">
        <f>Table1[[#This Row],[Clicks]]/Table1[[#This Row],[Impressions]]</f>
        <v>0.01</v>
      </c>
      <c r="P215" s="6">
        <f>Table1[[#This Row],[Leads]]/Table1[[#This Row],[Clicks]]</f>
        <v>2.0261885800011113E-2</v>
      </c>
      <c r="Q215" s="6" t="str">
        <f>IF(Table1[[#This Row],[Conversion1]]&gt;=2%,"High","Low")</f>
        <v>High</v>
      </c>
      <c r="R215" s="6">
        <f>IFERROR(Table1[[#This Row],[Orders]]/Table1[[#This Row],[Leads]],0)</f>
        <v>0.1663619744058501</v>
      </c>
      <c r="S215" s="6" t="str">
        <f>IF(Table1[[#This Row],[Conversion2]]&gt;=15%,"High","Low")</f>
        <v>High</v>
      </c>
      <c r="T215" s="4">
        <f>IFERROR(Table1[[#This Row],[Revenue]]/Table1[[#This Row],[Orders]],0)</f>
        <v>7980.9890109890111</v>
      </c>
      <c r="U215" s="4">
        <f>Table1[[#This Row],[Market_Budget]]/Table1[[#This Row],[Clicks]]</f>
        <v>5.6277665623321544</v>
      </c>
      <c r="V215" s="4">
        <f>IFERROR(Table1[[#This Row],[Market_Budget]]/Table1[[#This Row],[Leads]],0)</f>
        <v>277.7513711151737</v>
      </c>
      <c r="W215" s="4">
        <f>IFERROR(Table1[[#This Row],[Market_Budget]]/Table1[[#This Row],[Orders]],0)</f>
        <v>1669.5604395604396</v>
      </c>
      <c r="X215" s="15">
        <f>(Table1[[#This Row],[Revenue]]-Table1[[#This Row],[Market_Budget]])/Table1[[#This Row],[Market_Budget]]</f>
        <v>3.7802935562430067</v>
      </c>
      <c r="Y215" s="5">
        <f>Table1[[#This Row],[Revenue]]-Table1[[#This Row],[Market_Budget]]</f>
        <v>1148680</v>
      </c>
    </row>
    <row r="216" spans="1:25" x14ac:dyDescent="0.35">
      <c r="A216">
        <v>9034945</v>
      </c>
      <c r="B216" s="1">
        <v>44247</v>
      </c>
      <c r="C216" s="1" t="str">
        <f>TEXT(Table1[[#This Row],[Date]],"dddd")</f>
        <v>Saturday</v>
      </c>
      <c r="D216" s="1" t="str">
        <f>IF(WEEKDAY(Table1[[#This Row],[Date]],2)&gt;5,"Weekend","Weekday")</f>
        <v>Weekend</v>
      </c>
      <c r="E216" t="s">
        <v>41</v>
      </c>
      <c r="F216" t="str">
        <f>_xlfn.TEXTAFTER(Table1[[#This Row],[Campaign_Name]],"_")</f>
        <v>Tier1</v>
      </c>
      <c r="G216" t="str">
        <f>IF(ISNUMBER(SEARCH("Tier1",Table1[[#This Row],[Campaign_Name]])),"Tier1",IF(ISNUMBER(SEARCH("Tier2",Table1[[#This Row],[Campaign_Name]])),"Tier2","Not Applicable"))</f>
        <v>Tier1</v>
      </c>
      <c r="H216" t="s">
        <v>61</v>
      </c>
      <c r="I216" s="3">
        <v>404737</v>
      </c>
      <c r="J216" s="7">
        <v>7669421</v>
      </c>
      <c r="K216" s="7">
        <v>32395</v>
      </c>
      <c r="L216" s="7">
        <v>1003</v>
      </c>
      <c r="M216" s="7">
        <v>139</v>
      </c>
      <c r="N216" s="2">
        <v>847066</v>
      </c>
      <c r="O216" s="6">
        <f>Table1[[#This Row],[Clicks]]/Table1[[#This Row],[Impressions]]</f>
        <v>4.2239172944085347E-3</v>
      </c>
      <c r="P216" s="6">
        <f>Table1[[#This Row],[Leads]]/Table1[[#This Row],[Clicks]]</f>
        <v>3.096156814323198E-2</v>
      </c>
      <c r="Q216" s="6" t="str">
        <f>IF(Table1[[#This Row],[Conversion1]]&gt;=2%,"High","Low")</f>
        <v>High</v>
      </c>
      <c r="R216" s="6">
        <f>IFERROR(Table1[[#This Row],[Orders]]/Table1[[#This Row],[Leads]],0)</f>
        <v>0.13858424725822532</v>
      </c>
      <c r="S216" s="6" t="str">
        <f>IF(Table1[[#This Row],[Conversion2]]&gt;=15%,"High","Low")</f>
        <v>Low</v>
      </c>
      <c r="T216" s="4">
        <f>IFERROR(Table1[[#This Row],[Revenue]]/Table1[[#This Row],[Orders]],0)</f>
        <v>6094</v>
      </c>
      <c r="U216" s="4">
        <f>Table1[[#This Row],[Market_Budget]]/Table1[[#This Row],[Clicks]]</f>
        <v>12.49381077326748</v>
      </c>
      <c r="V216" s="4">
        <f>IFERROR(Table1[[#This Row],[Market_Budget]]/Table1[[#This Row],[Leads]],0)</f>
        <v>403.52642073778662</v>
      </c>
      <c r="W216" s="4">
        <f>IFERROR(Table1[[#This Row],[Market_Budget]]/Table1[[#This Row],[Orders]],0)</f>
        <v>2911.776978417266</v>
      </c>
      <c r="X216" s="15">
        <f>(Table1[[#This Row],[Revenue]]-Table1[[#This Row],[Market_Budget]])/Table1[[#This Row],[Market_Budget]]</f>
        <v>1.0928800677971127</v>
      </c>
      <c r="Y216" s="5">
        <f>Table1[[#This Row],[Revenue]]-Table1[[#This Row],[Market_Budget]]</f>
        <v>442329</v>
      </c>
    </row>
    <row r="217" spans="1:25" x14ac:dyDescent="0.35">
      <c r="A217">
        <v>983498</v>
      </c>
      <c r="B217" s="1">
        <v>44247</v>
      </c>
      <c r="C217" s="1" t="str">
        <f>TEXT(Table1[[#This Row],[Date]],"dddd")</f>
        <v>Saturday</v>
      </c>
      <c r="D217" s="1" t="str">
        <f>IF(WEEKDAY(Table1[[#This Row],[Date]],2)&gt;5,"Weekend","Weekday")</f>
        <v>Weekend</v>
      </c>
      <c r="E217" t="s">
        <v>42</v>
      </c>
      <c r="F217" t="str">
        <f>_xlfn.TEXTAFTER(Table1[[#This Row],[Campaign_Name]],"_")</f>
        <v>Tier2</v>
      </c>
      <c r="G217" t="str">
        <f>IF(ISNUMBER(SEARCH("Tier1",Table1[[#This Row],[Campaign_Name]])),"Tier1",IF(ISNUMBER(SEARCH("Tier2",Table1[[#This Row],[Campaign_Name]])),"Tier2","Not Applicable"))</f>
        <v>Tier2</v>
      </c>
      <c r="H217" t="s">
        <v>61</v>
      </c>
      <c r="I217" s="3">
        <v>150065</v>
      </c>
      <c r="J217" s="7">
        <v>12239000</v>
      </c>
      <c r="K217" s="7">
        <v>61195</v>
      </c>
      <c r="L217" s="7">
        <v>1224</v>
      </c>
      <c r="M217" s="7">
        <v>48</v>
      </c>
      <c r="N217" s="2">
        <v>73392</v>
      </c>
      <c r="O217" s="6">
        <f>Table1[[#This Row],[Clicks]]/Table1[[#This Row],[Impressions]]</f>
        <v>5.0000000000000001E-3</v>
      </c>
      <c r="P217" s="6">
        <f>Table1[[#This Row],[Leads]]/Table1[[#This Row],[Clicks]]</f>
        <v>2.0001634120434677E-2</v>
      </c>
      <c r="Q217" s="6" t="str">
        <f>IF(Table1[[#This Row],[Conversion1]]&gt;=2%,"High","Low")</f>
        <v>High</v>
      </c>
      <c r="R217" s="6">
        <f>IFERROR(Table1[[#This Row],[Orders]]/Table1[[#This Row],[Leads]],0)</f>
        <v>3.9215686274509803E-2</v>
      </c>
      <c r="S217" s="6" t="str">
        <f>IF(Table1[[#This Row],[Conversion2]]&gt;=15%,"High","Low")</f>
        <v>Low</v>
      </c>
      <c r="T217" s="4">
        <f>IFERROR(Table1[[#This Row],[Revenue]]/Table1[[#This Row],[Orders]],0)</f>
        <v>1529</v>
      </c>
      <c r="U217" s="4">
        <f>Table1[[#This Row],[Market_Budget]]/Table1[[#This Row],[Clicks]]</f>
        <v>2.4522428302965928</v>
      </c>
      <c r="V217" s="4">
        <f>IFERROR(Table1[[#This Row],[Market_Budget]]/Table1[[#This Row],[Leads]],0)</f>
        <v>122.60212418300654</v>
      </c>
      <c r="W217" s="4">
        <f>IFERROR(Table1[[#This Row],[Market_Budget]]/Table1[[#This Row],[Orders]],0)</f>
        <v>3126.3541666666665</v>
      </c>
      <c r="X217" s="15">
        <f>(Table1[[#This Row],[Revenue]]-Table1[[#This Row],[Market_Budget]])/Table1[[#This Row],[Market_Budget]]</f>
        <v>-0.51093192949721788</v>
      </c>
      <c r="Y217" s="5">
        <f>Table1[[#This Row],[Revenue]]-Table1[[#This Row],[Market_Budget]]</f>
        <v>-76673</v>
      </c>
    </row>
    <row r="218" spans="1:25" x14ac:dyDescent="0.35">
      <c r="A218">
        <v>4387490</v>
      </c>
      <c r="B218" s="1">
        <v>44247</v>
      </c>
      <c r="C218" s="1" t="str">
        <f>TEXT(Table1[[#This Row],[Date]],"dddd")</f>
        <v>Saturday</v>
      </c>
      <c r="D218" s="1" t="str">
        <f>IF(WEEKDAY(Table1[[#This Row],[Date]],2)&gt;5,"Weekend","Weekday")</f>
        <v>Weekend</v>
      </c>
      <c r="E218" t="s">
        <v>43</v>
      </c>
      <c r="F218" t="str">
        <f>_xlfn.TEXTAFTER(Table1[[#This Row],[Campaign_Name]],"_")</f>
        <v>Retargeting</v>
      </c>
      <c r="G218" t="str">
        <f>IF(ISNUMBER(SEARCH("Tier1",Table1[[#This Row],[Campaign_Name]])),"Tier1",IF(ISNUMBER(SEARCH("Tier2",Table1[[#This Row],[Campaign_Name]])),"Tier2","Not Applicable"))</f>
        <v>Not Applicable</v>
      </c>
      <c r="H218" t="s">
        <v>61</v>
      </c>
      <c r="I218" s="3">
        <v>73587.5</v>
      </c>
      <c r="J218" s="7">
        <v>111784</v>
      </c>
      <c r="K218" s="7">
        <v>3594</v>
      </c>
      <c r="L218" s="7">
        <v>116</v>
      </c>
      <c r="M218" s="7">
        <v>24</v>
      </c>
      <c r="N218" s="2">
        <v>119544</v>
      </c>
      <c r="O218" s="6">
        <f>Table1[[#This Row],[Clicks]]/Table1[[#This Row],[Impressions]]</f>
        <v>3.2151291776998499E-2</v>
      </c>
      <c r="P218" s="6">
        <f>Table1[[#This Row],[Leads]]/Table1[[#This Row],[Clicks]]</f>
        <v>3.2276015581524764E-2</v>
      </c>
      <c r="Q218" s="6" t="str">
        <f>IF(Table1[[#This Row],[Conversion1]]&gt;=2%,"High","Low")</f>
        <v>High</v>
      </c>
      <c r="R218" s="6">
        <f>IFERROR(Table1[[#This Row],[Orders]]/Table1[[#This Row],[Leads]],0)</f>
        <v>0.20689655172413793</v>
      </c>
      <c r="S218" s="6" t="str">
        <f>IF(Table1[[#This Row],[Conversion2]]&gt;=15%,"High","Low")</f>
        <v>High</v>
      </c>
      <c r="T218" s="4">
        <f>IFERROR(Table1[[#This Row],[Revenue]]/Table1[[#This Row],[Orders]],0)</f>
        <v>4981</v>
      </c>
      <c r="U218" s="4">
        <f>Table1[[#This Row],[Market_Budget]]/Table1[[#This Row],[Clicks]]</f>
        <v>20.475097384529771</v>
      </c>
      <c r="V218" s="4">
        <f>IFERROR(Table1[[#This Row],[Market_Budget]]/Table1[[#This Row],[Leads]],0)</f>
        <v>634.375</v>
      </c>
      <c r="W218" s="4">
        <f>IFERROR(Table1[[#This Row],[Market_Budget]]/Table1[[#This Row],[Orders]],0)</f>
        <v>3066.1458333333335</v>
      </c>
      <c r="X218" s="15">
        <f>(Table1[[#This Row],[Revenue]]-Table1[[#This Row],[Market_Budget]])/Table1[[#This Row],[Market_Budget]]</f>
        <v>0.62451503312383216</v>
      </c>
      <c r="Y218" s="5">
        <f>Table1[[#This Row],[Revenue]]-Table1[[#This Row],[Market_Budget]]</f>
        <v>45956.5</v>
      </c>
    </row>
    <row r="219" spans="1:25" x14ac:dyDescent="0.35">
      <c r="A219">
        <v>544756</v>
      </c>
      <c r="B219" s="1">
        <v>44247</v>
      </c>
      <c r="C219" s="1" t="str">
        <f>TEXT(Table1[[#This Row],[Date]],"dddd")</f>
        <v>Saturday</v>
      </c>
      <c r="D219" s="1" t="str">
        <f>IF(WEEKDAY(Table1[[#This Row],[Date]],2)&gt;5,"Weekend","Weekday")</f>
        <v>Weekend</v>
      </c>
      <c r="E219" t="s">
        <v>44</v>
      </c>
      <c r="F219" t="str">
        <f>_xlfn.TEXTAFTER(Table1[[#This Row],[Campaign_Name]],"_")</f>
        <v>Lal</v>
      </c>
      <c r="G219" t="str">
        <f>IF(ISNUMBER(SEARCH("Tier1",Table1[[#This Row],[Campaign_Name]])),"Tier1",IF(ISNUMBER(SEARCH("Tier2",Table1[[#This Row],[Campaign_Name]])),"Tier2","Not Applicable"))</f>
        <v>Not Applicable</v>
      </c>
      <c r="H219" t="s">
        <v>61</v>
      </c>
      <c r="I219" s="3">
        <v>173041</v>
      </c>
      <c r="J219" s="7">
        <v>1118531</v>
      </c>
      <c r="K219" s="7">
        <v>14399</v>
      </c>
      <c r="L219" s="7">
        <v>113</v>
      </c>
      <c r="M219" s="7">
        <v>18</v>
      </c>
      <c r="N219" s="2">
        <v>17658</v>
      </c>
      <c r="O219" s="6">
        <f>Table1[[#This Row],[Clicks]]/Table1[[#This Row],[Impressions]]</f>
        <v>1.2873134495154806E-2</v>
      </c>
      <c r="P219" s="6">
        <f>Table1[[#This Row],[Leads]]/Table1[[#This Row],[Clicks]]</f>
        <v>7.8477672060559764E-3</v>
      </c>
      <c r="Q219" s="6" t="str">
        <f>IF(Table1[[#This Row],[Conversion1]]&gt;=2%,"High","Low")</f>
        <v>Low</v>
      </c>
      <c r="R219" s="6">
        <f>IFERROR(Table1[[#This Row],[Orders]]/Table1[[#This Row],[Leads]],0)</f>
        <v>0.15929203539823009</v>
      </c>
      <c r="S219" s="6" t="str">
        <f>IF(Table1[[#This Row],[Conversion2]]&gt;=15%,"High","Low")</f>
        <v>High</v>
      </c>
      <c r="T219" s="4">
        <f>IFERROR(Table1[[#This Row],[Revenue]]/Table1[[#This Row],[Orders]],0)</f>
        <v>981</v>
      </c>
      <c r="U219" s="4">
        <f>Table1[[#This Row],[Market_Budget]]/Table1[[#This Row],[Clicks]]</f>
        <v>12.017570664629488</v>
      </c>
      <c r="V219" s="4">
        <f>IFERROR(Table1[[#This Row],[Market_Budget]]/Table1[[#This Row],[Leads]],0)</f>
        <v>1531.3362831858408</v>
      </c>
      <c r="W219" s="4">
        <f>IFERROR(Table1[[#This Row],[Market_Budget]]/Table1[[#This Row],[Orders]],0)</f>
        <v>9613.3888888888887</v>
      </c>
      <c r="X219" s="15">
        <f>(Table1[[#This Row],[Revenue]]-Table1[[#This Row],[Market_Budget]])/Table1[[#This Row],[Market_Budget]]</f>
        <v>-0.89795481995596416</v>
      </c>
      <c r="Y219" s="5">
        <f>Table1[[#This Row],[Revenue]]-Table1[[#This Row],[Market_Budget]]</f>
        <v>-155383</v>
      </c>
    </row>
    <row r="220" spans="1:25" x14ac:dyDescent="0.35">
      <c r="A220">
        <v>374754</v>
      </c>
      <c r="B220" s="1">
        <v>44247</v>
      </c>
      <c r="C220" s="1" t="str">
        <f>TEXT(Table1[[#This Row],[Date]],"dddd")</f>
        <v>Saturday</v>
      </c>
      <c r="D220" s="1" t="str">
        <f>IF(WEEKDAY(Table1[[#This Row],[Date]],2)&gt;5,"Weekend","Weekday")</f>
        <v>Weekend</v>
      </c>
      <c r="E220" t="s">
        <v>45</v>
      </c>
      <c r="F220" t="str">
        <f>_xlfn.TEXTAFTER(Table1[[#This Row],[Campaign_Name]],"_")</f>
        <v>Blogger</v>
      </c>
      <c r="G220" t="str">
        <f>IF(ISNUMBER(SEARCH("Tier1",Table1[[#This Row],[Campaign_Name]])),"Tier1",IF(ISNUMBER(SEARCH("Tier2",Table1[[#This Row],[Campaign_Name]])),"Tier2","Not Applicable"))</f>
        <v>Not Applicable</v>
      </c>
      <c r="H220" t="s">
        <v>48</v>
      </c>
      <c r="I220" s="3">
        <v>504576</v>
      </c>
      <c r="J220" s="7">
        <v>5497354</v>
      </c>
      <c r="K220" s="7">
        <v>35994</v>
      </c>
      <c r="L220" s="7">
        <v>822</v>
      </c>
      <c r="M220" s="7">
        <v>137</v>
      </c>
      <c r="N220" s="2">
        <v>682397</v>
      </c>
      <c r="O220" s="6">
        <f>Table1[[#This Row],[Clicks]]/Table1[[#This Row],[Impressions]]</f>
        <v>6.5475135856268305E-3</v>
      </c>
      <c r="P220" s="6">
        <f>Table1[[#This Row],[Leads]]/Table1[[#This Row],[Clicks]]</f>
        <v>2.2837139523253877E-2</v>
      </c>
      <c r="Q220" s="6" t="str">
        <f>IF(Table1[[#This Row],[Conversion1]]&gt;=2%,"High","Low")</f>
        <v>High</v>
      </c>
      <c r="R220" s="6">
        <f>IFERROR(Table1[[#This Row],[Orders]]/Table1[[#This Row],[Leads]],0)</f>
        <v>0.16666666666666666</v>
      </c>
      <c r="S220" s="6" t="str">
        <f>IF(Table1[[#This Row],[Conversion2]]&gt;=15%,"High","Low")</f>
        <v>High</v>
      </c>
      <c r="T220" s="4">
        <f>IFERROR(Table1[[#This Row],[Revenue]]/Table1[[#This Row],[Orders]],0)</f>
        <v>4981</v>
      </c>
      <c r="U220" s="4">
        <f>Table1[[#This Row],[Market_Budget]]/Table1[[#This Row],[Clicks]]</f>
        <v>14.018336389398232</v>
      </c>
      <c r="V220" s="4">
        <f>IFERROR(Table1[[#This Row],[Market_Budget]]/Table1[[#This Row],[Leads]],0)</f>
        <v>613.83941605839414</v>
      </c>
      <c r="W220" s="4">
        <f>IFERROR(Table1[[#This Row],[Market_Budget]]/Table1[[#This Row],[Orders]],0)</f>
        <v>3683.0364963503648</v>
      </c>
      <c r="X220" s="15">
        <f>(Table1[[#This Row],[Revenue]]-Table1[[#This Row],[Market_Budget]])/Table1[[#This Row],[Market_Budget]]</f>
        <v>0.35241668252156266</v>
      </c>
      <c r="Y220" s="5">
        <f>Table1[[#This Row],[Revenue]]-Table1[[#This Row],[Market_Budget]]</f>
        <v>177821</v>
      </c>
    </row>
    <row r="221" spans="1:25" x14ac:dyDescent="0.35">
      <c r="A221">
        <v>39889</v>
      </c>
      <c r="B221" s="1">
        <v>44247</v>
      </c>
      <c r="C221" s="1" t="str">
        <f>TEXT(Table1[[#This Row],[Date]],"dddd")</f>
        <v>Saturday</v>
      </c>
      <c r="D221" s="1" t="str">
        <f>IF(WEEKDAY(Table1[[#This Row],[Date]],2)&gt;5,"Weekend","Weekday")</f>
        <v>Weekend</v>
      </c>
      <c r="E221" t="s">
        <v>46</v>
      </c>
      <c r="F221" t="str">
        <f>_xlfn.TEXTAFTER(Table1[[#This Row],[Campaign_Name]],"_")</f>
        <v>Partner</v>
      </c>
      <c r="G221" t="str">
        <f>IF(ISNUMBER(SEARCH("Tier1",Table1[[#This Row],[Campaign_Name]])),"Tier1",IF(ISNUMBER(SEARCH("Tier2",Table1[[#This Row],[Campaign_Name]])),"Tier2","Not Applicable"))</f>
        <v>Not Applicable</v>
      </c>
      <c r="H221" t="s">
        <v>62</v>
      </c>
      <c r="I221" s="3">
        <v>750361</v>
      </c>
      <c r="J221" s="7">
        <v>26012342</v>
      </c>
      <c r="K221" s="7">
        <v>50408</v>
      </c>
      <c r="L221" s="7">
        <v>1678</v>
      </c>
      <c r="M221" s="7">
        <v>252</v>
      </c>
      <c r="N221" s="2">
        <v>1003210</v>
      </c>
      <c r="O221" s="6">
        <f>Table1[[#This Row],[Clicks]]/Table1[[#This Row],[Impressions]]</f>
        <v>1.9378493485899886E-3</v>
      </c>
      <c r="P221" s="6">
        <f>Table1[[#This Row],[Leads]]/Table1[[#This Row],[Clicks]]</f>
        <v>3.3288366925884778E-2</v>
      </c>
      <c r="Q221" s="6" t="str">
        <f>IF(Table1[[#This Row],[Conversion1]]&gt;=2%,"High","Low")</f>
        <v>High</v>
      </c>
      <c r="R221" s="6">
        <f>IFERROR(Table1[[#This Row],[Orders]]/Table1[[#This Row],[Leads]],0)</f>
        <v>0.1501787842669845</v>
      </c>
      <c r="S221" s="6" t="str">
        <f>IF(Table1[[#This Row],[Conversion2]]&gt;=15%,"High","Low")</f>
        <v>High</v>
      </c>
      <c r="T221" s="4">
        <f>IFERROR(Table1[[#This Row],[Revenue]]/Table1[[#This Row],[Orders]],0)</f>
        <v>3980.9920634920636</v>
      </c>
      <c r="U221" s="4">
        <f>Table1[[#This Row],[Market_Budget]]/Table1[[#This Row],[Clicks]]</f>
        <v>14.885752261545786</v>
      </c>
      <c r="V221" s="4">
        <f>IFERROR(Table1[[#This Row],[Market_Budget]]/Table1[[#This Row],[Leads]],0)</f>
        <v>447.17580452920146</v>
      </c>
      <c r="W221" s="4">
        <f>IFERROR(Table1[[#This Row],[Market_Budget]]/Table1[[#This Row],[Orders]],0)</f>
        <v>2977.6230158730159</v>
      </c>
      <c r="X221" s="15">
        <f>(Table1[[#This Row],[Revenue]]-Table1[[#This Row],[Market_Budget]])/Table1[[#This Row],[Market_Budget]]</f>
        <v>0.33696980520043018</v>
      </c>
      <c r="Y221" s="5">
        <f>Table1[[#This Row],[Revenue]]-Table1[[#This Row],[Market_Budget]]</f>
        <v>252849</v>
      </c>
    </row>
    <row r="222" spans="1:25" x14ac:dyDescent="0.35">
      <c r="A222">
        <v>349043</v>
      </c>
      <c r="B222" s="1">
        <v>44248</v>
      </c>
      <c r="C222" s="1" t="str">
        <f>TEXT(Table1[[#This Row],[Date]],"dddd")</f>
        <v>Sunday</v>
      </c>
      <c r="D222" s="1" t="str">
        <f>IF(WEEKDAY(Table1[[#This Row],[Date]],2)&gt;5,"Weekend","Weekday")</f>
        <v>Weekend</v>
      </c>
      <c r="E222" t="s">
        <v>36</v>
      </c>
      <c r="F222" t="str">
        <f>_xlfn.TEXTAFTER(Table1[[#This Row],[Campaign_Name]],"_")</f>
        <v>Tier1</v>
      </c>
      <c r="G222" t="str">
        <f>IF(ISNUMBER(SEARCH("Tier1",Table1[[#This Row],[Campaign_Name]])),"Tier1",IF(ISNUMBER(SEARCH("Tier2",Table1[[#This Row],[Campaign_Name]])),"Tier2","Not Applicable"))</f>
        <v>Tier1</v>
      </c>
      <c r="H222" t="s">
        <v>61</v>
      </c>
      <c r="I222" s="3">
        <v>38596.699999999997</v>
      </c>
      <c r="J222" s="7">
        <v>478600</v>
      </c>
      <c r="K222" s="7">
        <v>2393</v>
      </c>
      <c r="L222" s="7">
        <v>66</v>
      </c>
      <c r="M222" s="7">
        <v>7</v>
      </c>
      <c r="N222" s="2">
        <v>31094</v>
      </c>
      <c r="O222" s="6">
        <f>Table1[[#This Row],[Clicks]]/Table1[[#This Row],[Impressions]]</f>
        <v>5.0000000000000001E-3</v>
      </c>
      <c r="P222" s="6">
        <f>Table1[[#This Row],[Leads]]/Table1[[#This Row],[Clicks]]</f>
        <v>2.7580442958629336E-2</v>
      </c>
      <c r="Q222" s="6" t="str">
        <f>IF(Table1[[#This Row],[Conversion1]]&gt;=2%,"High","Low")</f>
        <v>High</v>
      </c>
      <c r="R222" s="6">
        <f>IFERROR(Table1[[#This Row],[Orders]]/Table1[[#This Row],[Leads]],0)</f>
        <v>0.10606060606060606</v>
      </c>
      <c r="S222" s="6" t="str">
        <f>IF(Table1[[#This Row],[Conversion2]]&gt;=15%,"High","Low")</f>
        <v>Low</v>
      </c>
      <c r="T222" s="4">
        <f>IFERROR(Table1[[#This Row],[Revenue]]/Table1[[#This Row],[Orders]],0)</f>
        <v>4442</v>
      </c>
      <c r="U222" s="4">
        <f>Table1[[#This Row],[Market_Budget]]/Table1[[#This Row],[Clicks]]</f>
        <v>16.129001253656497</v>
      </c>
      <c r="V222" s="4">
        <f>IFERROR(Table1[[#This Row],[Market_Budget]]/Table1[[#This Row],[Leads]],0)</f>
        <v>584.7984848484848</v>
      </c>
      <c r="W222" s="4">
        <f>IFERROR(Table1[[#This Row],[Market_Budget]]/Table1[[#This Row],[Orders]],0)</f>
        <v>5513.8142857142857</v>
      </c>
      <c r="X222" s="15">
        <f>(Table1[[#This Row],[Revenue]]-Table1[[#This Row],[Market_Budget]])/Table1[[#This Row],[Market_Budget]]</f>
        <v>-0.1943870849062225</v>
      </c>
      <c r="Y222" s="5">
        <f>Table1[[#This Row],[Revenue]]-Table1[[#This Row],[Market_Budget]]</f>
        <v>-7502.6999999999971</v>
      </c>
    </row>
    <row r="223" spans="1:25" x14ac:dyDescent="0.35">
      <c r="A223">
        <v>348934</v>
      </c>
      <c r="B223" s="1">
        <v>44248</v>
      </c>
      <c r="C223" s="1" t="str">
        <f>TEXT(Table1[[#This Row],[Date]],"dddd")</f>
        <v>Sunday</v>
      </c>
      <c r="D223" s="1" t="str">
        <f>IF(WEEKDAY(Table1[[#This Row],[Date]],2)&gt;5,"Weekend","Weekday")</f>
        <v>Weekend</v>
      </c>
      <c r="E223" t="s">
        <v>37</v>
      </c>
      <c r="F223" t="str">
        <f>_xlfn.TEXTAFTER(Table1[[#This Row],[Campaign_Name]],"_")</f>
        <v>Tier2</v>
      </c>
      <c r="G223" t="str">
        <f>IF(ISNUMBER(SEARCH("Tier1",Table1[[#This Row],[Campaign_Name]])),"Tier1",IF(ISNUMBER(SEARCH("Tier2",Table1[[#This Row],[Campaign_Name]])),"Tier2","Not Applicable"))</f>
        <v>Tier2</v>
      </c>
      <c r="H223" t="s">
        <v>61</v>
      </c>
      <c r="I223" s="3">
        <v>39481</v>
      </c>
      <c r="J223" s="7">
        <v>543787</v>
      </c>
      <c r="K223" s="7">
        <v>3299</v>
      </c>
      <c r="L223" s="7">
        <v>113</v>
      </c>
      <c r="M223" s="7">
        <v>6</v>
      </c>
      <c r="N223" s="2">
        <v>29538</v>
      </c>
      <c r="O223" s="6">
        <f>Table1[[#This Row],[Clicks]]/Table1[[#This Row],[Impressions]]</f>
        <v>6.0667136213259972E-3</v>
      </c>
      <c r="P223" s="6">
        <f>Table1[[#This Row],[Leads]]/Table1[[#This Row],[Clicks]]</f>
        <v>3.4252803879963628E-2</v>
      </c>
      <c r="Q223" s="6" t="str">
        <f>IF(Table1[[#This Row],[Conversion1]]&gt;=2%,"High","Low")</f>
        <v>High</v>
      </c>
      <c r="R223" s="6">
        <f>IFERROR(Table1[[#This Row],[Orders]]/Table1[[#This Row],[Leads]],0)</f>
        <v>5.3097345132743362E-2</v>
      </c>
      <c r="S223" s="6" t="str">
        <f>IF(Table1[[#This Row],[Conversion2]]&gt;=15%,"High","Low")</f>
        <v>Low</v>
      </c>
      <c r="T223" s="4">
        <f>IFERROR(Table1[[#This Row],[Revenue]]/Table1[[#This Row],[Orders]],0)</f>
        <v>4923</v>
      </c>
      <c r="U223" s="4">
        <f>Table1[[#This Row],[Market_Budget]]/Table1[[#This Row],[Clicks]]</f>
        <v>11.967565929069416</v>
      </c>
      <c r="V223" s="4">
        <f>IFERROR(Table1[[#This Row],[Market_Budget]]/Table1[[#This Row],[Leads]],0)</f>
        <v>349.38938053097343</v>
      </c>
      <c r="W223" s="4">
        <f>IFERROR(Table1[[#This Row],[Market_Budget]]/Table1[[#This Row],[Orders]],0)</f>
        <v>6580.166666666667</v>
      </c>
      <c r="X223" s="15">
        <f>(Table1[[#This Row],[Revenue]]-Table1[[#This Row],[Market_Budget]])/Table1[[#This Row],[Market_Budget]]</f>
        <v>-0.25184265849395909</v>
      </c>
      <c r="Y223" s="5">
        <f>Table1[[#This Row],[Revenue]]-Table1[[#This Row],[Market_Budget]]</f>
        <v>-9943</v>
      </c>
    </row>
    <row r="224" spans="1:25" x14ac:dyDescent="0.35">
      <c r="A224">
        <v>89459845</v>
      </c>
      <c r="B224" s="1">
        <v>44248</v>
      </c>
      <c r="C224" s="1" t="str">
        <f>TEXT(Table1[[#This Row],[Date]],"dddd")</f>
        <v>Sunday</v>
      </c>
      <c r="D224" s="1" t="str">
        <f>IF(WEEKDAY(Table1[[#This Row],[Date]],2)&gt;5,"Weekend","Weekday")</f>
        <v>Weekend</v>
      </c>
      <c r="E224" t="s">
        <v>38</v>
      </c>
      <c r="F224" t="str">
        <f>_xlfn.TEXTAFTER(Table1[[#This Row],[Campaign_Name]],"_")</f>
        <v>Hot</v>
      </c>
      <c r="G224" t="str">
        <f>IF(ISNUMBER(SEARCH("Tier1",Table1[[#This Row],[Campaign_Name]])),"Tier1",IF(ISNUMBER(SEARCH("Tier2",Table1[[#This Row],[Campaign_Name]])),"Tier2","Not Applicable"))</f>
        <v>Not Applicable</v>
      </c>
      <c r="H224" t="s">
        <v>47</v>
      </c>
      <c r="I224" s="3">
        <v>9444.1200000000008</v>
      </c>
      <c r="J224" s="7">
        <v>49655</v>
      </c>
      <c r="K224" s="7">
        <v>907</v>
      </c>
      <c r="L224" s="7">
        <v>18</v>
      </c>
      <c r="M224" s="7">
        <v>2</v>
      </c>
      <c r="N224" s="2">
        <v>15962</v>
      </c>
      <c r="O224" s="6">
        <f>Table1[[#This Row],[Clicks]]/Table1[[#This Row],[Impressions]]</f>
        <v>1.8266035645957104E-2</v>
      </c>
      <c r="P224" s="6">
        <f>Table1[[#This Row],[Leads]]/Table1[[#This Row],[Clicks]]</f>
        <v>1.9845644983461964E-2</v>
      </c>
      <c r="Q224" s="6" t="str">
        <f>IF(Table1[[#This Row],[Conversion1]]&gt;=2%,"High","Low")</f>
        <v>Low</v>
      </c>
      <c r="R224" s="6">
        <f>IFERROR(Table1[[#This Row],[Orders]]/Table1[[#This Row],[Leads]],0)</f>
        <v>0.1111111111111111</v>
      </c>
      <c r="S224" s="6" t="str">
        <f>IF(Table1[[#This Row],[Conversion2]]&gt;=15%,"High","Low")</f>
        <v>Low</v>
      </c>
      <c r="T224" s="4">
        <f>IFERROR(Table1[[#This Row],[Revenue]]/Table1[[#This Row],[Orders]],0)</f>
        <v>7981</v>
      </c>
      <c r="U224" s="4">
        <f>Table1[[#This Row],[Market_Budget]]/Table1[[#This Row],[Clicks]]</f>
        <v>10.412480705622933</v>
      </c>
      <c r="V224" s="4">
        <f>IFERROR(Table1[[#This Row],[Market_Budget]]/Table1[[#This Row],[Leads]],0)</f>
        <v>524.6733333333334</v>
      </c>
      <c r="W224" s="4">
        <f>IFERROR(Table1[[#This Row],[Market_Budget]]/Table1[[#This Row],[Orders]],0)</f>
        <v>4722.0600000000004</v>
      </c>
      <c r="X224" s="15">
        <f>(Table1[[#This Row],[Revenue]]-Table1[[#This Row],[Market_Budget]])/Table1[[#This Row],[Market_Budget]]</f>
        <v>0.69015217934545503</v>
      </c>
      <c r="Y224" s="5">
        <f>Table1[[#This Row],[Revenue]]-Table1[[#This Row],[Market_Budget]]</f>
        <v>6517.8799999999992</v>
      </c>
    </row>
    <row r="225" spans="1:25" x14ac:dyDescent="0.35">
      <c r="A225">
        <v>127823</v>
      </c>
      <c r="B225" s="1">
        <v>44248</v>
      </c>
      <c r="C225" s="1" t="str">
        <f>TEXT(Table1[[#This Row],[Date]],"dddd")</f>
        <v>Sunday</v>
      </c>
      <c r="D225" s="1" t="str">
        <f>IF(WEEKDAY(Table1[[#This Row],[Date]],2)&gt;5,"Weekend","Weekday")</f>
        <v>Weekend</v>
      </c>
      <c r="E225" t="s">
        <v>39</v>
      </c>
      <c r="F225" t="str">
        <f>_xlfn.TEXTAFTER(Table1[[#This Row],[Campaign_Name]],"_")</f>
        <v>Wide</v>
      </c>
      <c r="G225" t="str">
        <f>IF(ISNUMBER(SEARCH("Tier1",Table1[[#This Row],[Campaign_Name]])),"Tier1",IF(ISNUMBER(SEARCH("Tier2",Table1[[#This Row],[Campaign_Name]])),"Tier2","Not Applicable"))</f>
        <v>Not Applicable</v>
      </c>
      <c r="H225" t="s">
        <v>47</v>
      </c>
      <c r="I225" s="3">
        <v>17476.2</v>
      </c>
      <c r="J225" s="7">
        <v>478400</v>
      </c>
      <c r="K225" s="7">
        <v>2392</v>
      </c>
      <c r="L225" s="7">
        <v>48</v>
      </c>
      <c r="M225" s="7">
        <v>5</v>
      </c>
      <c r="N225" s="2">
        <v>12910</v>
      </c>
      <c r="O225" s="6">
        <f>Table1[[#This Row],[Clicks]]/Table1[[#This Row],[Impressions]]</f>
        <v>5.0000000000000001E-3</v>
      </c>
      <c r="P225" s="6">
        <f>Table1[[#This Row],[Leads]]/Table1[[#This Row],[Clicks]]</f>
        <v>2.0066889632107024E-2</v>
      </c>
      <c r="Q225" s="6" t="str">
        <f>IF(Table1[[#This Row],[Conversion1]]&gt;=2%,"High","Low")</f>
        <v>High</v>
      </c>
      <c r="R225" s="6">
        <f>IFERROR(Table1[[#This Row],[Orders]]/Table1[[#This Row],[Leads]],0)</f>
        <v>0.10416666666666667</v>
      </c>
      <c r="S225" s="6" t="str">
        <f>IF(Table1[[#This Row],[Conversion2]]&gt;=15%,"High","Low")</f>
        <v>Low</v>
      </c>
      <c r="T225" s="4">
        <f>IFERROR(Table1[[#This Row],[Revenue]]/Table1[[#This Row],[Orders]],0)</f>
        <v>2582</v>
      </c>
      <c r="U225" s="4">
        <f>Table1[[#This Row],[Market_Budget]]/Table1[[#This Row],[Clicks]]</f>
        <v>7.306103678929766</v>
      </c>
      <c r="V225" s="4">
        <f>IFERROR(Table1[[#This Row],[Market_Budget]]/Table1[[#This Row],[Leads]],0)</f>
        <v>364.08750000000003</v>
      </c>
      <c r="W225" s="4">
        <f>IFERROR(Table1[[#This Row],[Market_Budget]]/Table1[[#This Row],[Orders]],0)</f>
        <v>3495.2400000000002</v>
      </c>
      <c r="X225" s="15">
        <f>(Table1[[#This Row],[Revenue]]-Table1[[#This Row],[Market_Budget]])/Table1[[#This Row],[Market_Budget]]</f>
        <v>-0.26128105652258504</v>
      </c>
      <c r="Y225" s="5">
        <f>Table1[[#This Row],[Revenue]]-Table1[[#This Row],[Market_Budget]]</f>
        <v>-4566.2000000000007</v>
      </c>
    </row>
    <row r="226" spans="1:25" x14ac:dyDescent="0.35">
      <c r="A226">
        <v>10934</v>
      </c>
      <c r="B226" s="1">
        <v>44248</v>
      </c>
      <c r="C226" s="1" t="str">
        <f>TEXT(Table1[[#This Row],[Date]],"dddd")</f>
        <v>Sunday</v>
      </c>
      <c r="D226" s="1" t="str">
        <f>IF(WEEKDAY(Table1[[#This Row],[Date]],2)&gt;5,"Weekend","Weekday")</f>
        <v>Weekend</v>
      </c>
      <c r="E226" t="s">
        <v>40</v>
      </c>
      <c r="F226" t="str">
        <f>_xlfn.TEXTAFTER(Table1[[#This Row],[Campaign_Name]],"_")</f>
        <v>Blogger</v>
      </c>
      <c r="G226" t="str">
        <f>IF(ISNUMBER(SEARCH("Tier1",Table1[[#This Row],[Campaign_Name]])),"Tier1",IF(ISNUMBER(SEARCH("Tier2",Table1[[#This Row],[Campaign_Name]])),"Tier2","Not Applicable"))</f>
        <v>Not Applicable</v>
      </c>
      <c r="H226" t="s">
        <v>48</v>
      </c>
      <c r="I226" s="3">
        <v>30801</v>
      </c>
      <c r="J226" s="7">
        <v>713896</v>
      </c>
      <c r="K226" s="7">
        <v>4507</v>
      </c>
      <c r="L226" s="7">
        <v>90</v>
      </c>
      <c r="M226" s="7">
        <v>20</v>
      </c>
      <c r="N226" s="2">
        <v>159620</v>
      </c>
      <c r="O226" s="6">
        <f>Table1[[#This Row],[Clicks]]/Table1[[#This Row],[Impressions]]</f>
        <v>6.3132445062025842E-3</v>
      </c>
      <c r="P226" s="6">
        <f>Table1[[#This Row],[Leads]]/Table1[[#This Row],[Clicks]]</f>
        <v>1.9968937208786331E-2</v>
      </c>
      <c r="Q226" s="6" t="str">
        <f>IF(Table1[[#This Row],[Conversion1]]&gt;=2%,"High","Low")</f>
        <v>Low</v>
      </c>
      <c r="R226" s="6">
        <f>IFERROR(Table1[[#This Row],[Orders]]/Table1[[#This Row],[Leads]],0)</f>
        <v>0.22222222222222221</v>
      </c>
      <c r="S226" s="6" t="str">
        <f>IF(Table1[[#This Row],[Conversion2]]&gt;=15%,"High","Low")</f>
        <v>High</v>
      </c>
      <c r="T226" s="4">
        <f>IFERROR(Table1[[#This Row],[Revenue]]/Table1[[#This Row],[Orders]],0)</f>
        <v>7981</v>
      </c>
      <c r="U226" s="4">
        <f>Table1[[#This Row],[Market_Budget]]/Table1[[#This Row],[Clicks]]</f>
        <v>6.8340359440869758</v>
      </c>
      <c r="V226" s="4">
        <f>IFERROR(Table1[[#This Row],[Market_Budget]]/Table1[[#This Row],[Leads]],0)</f>
        <v>342.23333333333335</v>
      </c>
      <c r="W226" s="4">
        <f>IFERROR(Table1[[#This Row],[Market_Budget]]/Table1[[#This Row],[Orders]],0)</f>
        <v>1540.05</v>
      </c>
      <c r="X226" s="15">
        <f>(Table1[[#This Row],[Revenue]]-Table1[[#This Row],[Market_Budget]])/Table1[[#This Row],[Market_Budget]]</f>
        <v>4.1822992759975328</v>
      </c>
      <c r="Y226" s="5">
        <f>Table1[[#This Row],[Revenue]]-Table1[[#This Row],[Market_Budget]]</f>
        <v>128819</v>
      </c>
    </row>
    <row r="227" spans="1:25" x14ac:dyDescent="0.35">
      <c r="A227">
        <v>9034945</v>
      </c>
      <c r="B227" s="1">
        <v>44248</v>
      </c>
      <c r="C227" s="1" t="str">
        <f>TEXT(Table1[[#This Row],[Date]],"dddd")</f>
        <v>Sunday</v>
      </c>
      <c r="D227" s="1" t="str">
        <f>IF(WEEKDAY(Table1[[#This Row],[Date]],2)&gt;5,"Weekend","Weekday")</f>
        <v>Weekend</v>
      </c>
      <c r="E227" t="s">
        <v>41</v>
      </c>
      <c r="F227" t="str">
        <f>_xlfn.TEXTAFTER(Table1[[#This Row],[Campaign_Name]],"_")</f>
        <v>Tier1</v>
      </c>
      <c r="G227" t="str">
        <f>IF(ISNUMBER(SEARCH("Tier1",Table1[[#This Row],[Campaign_Name]])),"Tier1",IF(ISNUMBER(SEARCH("Tier2",Table1[[#This Row],[Campaign_Name]])),"Tier2","Not Applicable"))</f>
        <v>Tier1</v>
      </c>
      <c r="H227" t="s">
        <v>61</v>
      </c>
      <c r="I227" s="3">
        <v>29457.5</v>
      </c>
      <c r="J227" s="7">
        <v>555915</v>
      </c>
      <c r="K227" s="7">
        <v>2709</v>
      </c>
      <c r="L227" s="7">
        <v>60</v>
      </c>
      <c r="M227" s="7">
        <v>10</v>
      </c>
      <c r="N227" s="2">
        <v>55540</v>
      </c>
      <c r="O227" s="6">
        <f>Table1[[#This Row],[Clicks]]/Table1[[#This Row],[Impressions]]</f>
        <v>4.8730471385013893E-3</v>
      </c>
      <c r="P227" s="6">
        <f>Table1[[#This Row],[Leads]]/Table1[[#This Row],[Clicks]]</f>
        <v>2.2148394241417499E-2</v>
      </c>
      <c r="Q227" s="6" t="str">
        <f>IF(Table1[[#This Row],[Conversion1]]&gt;=2%,"High","Low")</f>
        <v>High</v>
      </c>
      <c r="R227" s="6">
        <f>IFERROR(Table1[[#This Row],[Orders]]/Table1[[#This Row],[Leads]],0)</f>
        <v>0.16666666666666666</v>
      </c>
      <c r="S227" s="6" t="str">
        <f>IF(Table1[[#This Row],[Conversion2]]&gt;=15%,"High","Low")</f>
        <v>High</v>
      </c>
      <c r="T227" s="4">
        <f>IFERROR(Table1[[#This Row],[Revenue]]/Table1[[#This Row],[Orders]],0)</f>
        <v>5554</v>
      </c>
      <c r="U227" s="4">
        <f>Table1[[#This Row],[Market_Budget]]/Table1[[#This Row],[Clicks]]</f>
        <v>10.873938722775932</v>
      </c>
      <c r="V227" s="4">
        <f>IFERROR(Table1[[#This Row],[Market_Budget]]/Table1[[#This Row],[Leads]],0)</f>
        <v>490.95833333333331</v>
      </c>
      <c r="W227" s="4">
        <f>IFERROR(Table1[[#This Row],[Market_Budget]]/Table1[[#This Row],[Orders]],0)</f>
        <v>2945.75</v>
      </c>
      <c r="X227" s="15">
        <f>(Table1[[#This Row],[Revenue]]-Table1[[#This Row],[Market_Budget]])/Table1[[#This Row],[Market_Budget]]</f>
        <v>0.88542815921242468</v>
      </c>
      <c r="Y227" s="5">
        <f>Table1[[#This Row],[Revenue]]-Table1[[#This Row],[Market_Budget]]</f>
        <v>26082.5</v>
      </c>
    </row>
    <row r="228" spans="1:25" x14ac:dyDescent="0.35">
      <c r="A228">
        <v>983498</v>
      </c>
      <c r="B228" s="1">
        <v>44248</v>
      </c>
      <c r="C228" s="1" t="str">
        <f>TEXT(Table1[[#This Row],[Date]],"dddd")</f>
        <v>Sunday</v>
      </c>
      <c r="D228" s="1" t="str">
        <f>IF(WEEKDAY(Table1[[#This Row],[Date]],2)&gt;5,"Weekend","Weekday")</f>
        <v>Weekend</v>
      </c>
      <c r="E228" t="s">
        <v>42</v>
      </c>
      <c r="F228" t="str">
        <f>_xlfn.TEXTAFTER(Table1[[#This Row],[Campaign_Name]],"_")</f>
        <v>Tier2</v>
      </c>
      <c r="G228" t="str">
        <f>IF(ISNUMBER(SEARCH("Tier1",Table1[[#This Row],[Campaign_Name]])),"Tier1",IF(ISNUMBER(SEARCH("Tier2",Table1[[#This Row],[Campaign_Name]])),"Tier2","Not Applicable"))</f>
        <v>Tier2</v>
      </c>
      <c r="H228" t="s">
        <v>61</v>
      </c>
      <c r="I228" s="3">
        <v>12503.5</v>
      </c>
      <c r="J228" s="7">
        <v>781353</v>
      </c>
      <c r="K228" s="7">
        <v>5104</v>
      </c>
      <c r="L228" s="7">
        <v>102</v>
      </c>
      <c r="M228" s="7">
        <v>4</v>
      </c>
      <c r="N228" s="2">
        <v>7924</v>
      </c>
      <c r="O228" s="6">
        <f>Table1[[#This Row],[Clicks]]/Table1[[#This Row],[Impressions]]</f>
        <v>6.5322587870015221E-3</v>
      </c>
      <c r="P228" s="6">
        <f>Table1[[#This Row],[Leads]]/Table1[[#This Row],[Clicks]]</f>
        <v>1.9984326018808778E-2</v>
      </c>
      <c r="Q228" s="6" t="str">
        <f>IF(Table1[[#This Row],[Conversion1]]&gt;=2%,"High","Low")</f>
        <v>Low</v>
      </c>
      <c r="R228" s="6">
        <f>IFERROR(Table1[[#This Row],[Orders]]/Table1[[#This Row],[Leads]],0)</f>
        <v>3.9215686274509803E-2</v>
      </c>
      <c r="S228" s="6" t="str">
        <f>IF(Table1[[#This Row],[Conversion2]]&gt;=15%,"High","Low")</f>
        <v>Low</v>
      </c>
      <c r="T228" s="4">
        <f>IFERROR(Table1[[#This Row],[Revenue]]/Table1[[#This Row],[Orders]],0)</f>
        <v>1981</v>
      </c>
      <c r="U228" s="4">
        <f>Table1[[#This Row],[Market_Budget]]/Table1[[#This Row],[Clicks]]</f>
        <v>2.4497452978056424</v>
      </c>
      <c r="V228" s="4">
        <f>IFERROR(Table1[[#This Row],[Market_Budget]]/Table1[[#This Row],[Leads]],0)</f>
        <v>122.58333333333333</v>
      </c>
      <c r="W228" s="4">
        <f>IFERROR(Table1[[#This Row],[Market_Budget]]/Table1[[#This Row],[Orders]],0)</f>
        <v>3125.875</v>
      </c>
      <c r="X228" s="15">
        <f>(Table1[[#This Row],[Revenue]]-Table1[[#This Row],[Market_Budget]])/Table1[[#This Row],[Market_Budget]]</f>
        <v>-0.36625744791458392</v>
      </c>
      <c r="Y228" s="5">
        <f>Table1[[#This Row],[Revenue]]-Table1[[#This Row],[Market_Budget]]</f>
        <v>-4579.5</v>
      </c>
    </row>
    <row r="229" spans="1:25" x14ac:dyDescent="0.35">
      <c r="A229">
        <v>4387490</v>
      </c>
      <c r="B229" s="1">
        <v>44248</v>
      </c>
      <c r="C229" s="1" t="str">
        <f>TEXT(Table1[[#This Row],[Date]],"dddd")</f>
        <v>Sunday</v>
      </c>
      <c r="D229" s="1" t="str">
        <f>IF(WEEKDAY(Table1[[#This Row],[Date]],2)&gt;5,"Weekend","Weekday")</f>
        <v>Weekend</v>
      </c>
      <c r="E229" t="s">
        <v>43</v>
      </c>
      <c r="F229" t="str">
        <f>_xlfn.TEXTAFTER(Table1[[#This Row],[Campaign_Name]],"_")</f>
        <v>Retargeting</v>
      </c>
      <c r="G229" t="str">
        <f>IF(ISNUMBER(SEARCH("Tier1",Table1[[#This Row],[Campaign_Name]])),"Tier1",IF(ISNUMBER(SEARCH("Tier2",Table1[[#This Row],[Campaign_Name]])),"Tier2","Not Applicable"))</f>
        <v>Not Applicable</v>
      </c>
      <c r="H229" t="s">
        <v>61</v>
      </c>
      <c r="I229" s="3">
        <v>1555.96</v>
      </c>
      <c r="J229" s="7">
        <v>10812</v>
      </c>
      <c r="K229" s="7">
        <v>296</v>
      </c>
      <c r="L229" s="7">
        <v>3</v>
      </c>
      <c r="M229" s="7">
        <v>1</v>
      </c>
      <c r="N229" s="2">
        <v>3993</v>
      </c>
      <c r="O229" s="6">
        <f>Table1[[#This Row],[Clicks]]/Table1[[#This Row],[Impressions]]</f>
        <v>2.737698853126156E-2</v>
      </c>
      <c r="P229" s="6">
        <f>Table1[[#This Row],[Leads]]/Table1[[#This Row],[Clicks]]</f>
        <v>1.0135135135135136E-2</v>
      </c>
      <c r="Q229" s="6" t="str">
        <f>IF(Table1[[#This Row],[Conversion1]]&gt;=2%,"High","Low")</f>
        <v>Low</v>
      </c>
      <c r="R229" s="6">
        <f>IFERROR(Table1[[#This Row],[Orders]]/Table1[[#This Row],[Leads]],0)</f>
        <v>0.33333333333333331</v>
      </c>
      <c r="S229" s="6" t="str">
        <f>IF(Table1[[#This Row],[Conversion2]]&gt;=15%,"High","Low")</f>
        <v>High</v>
      </c>
      <c r="T229" s="4">
        <f>IFERROR(Table1[[#This Row],[Revenue]]/Table1[[#This Row],[Orders]],0)</f>
        <v>3993</v>
      </c>
      <c r="U229" s="4">
        <f>Table1[[#This Row],[Market_Budget]]/Table1[[#This Row],[Clicks]]</f>
        <v>5.2566216216216217</v>
      </c>
      <c r="V229" s="4">
        <f>IFERROR(Table1[[#This Row],[Market_Budget]]/Table1[[#This Row],[Leads]],0)</f>
        <v>518.65333333333331</v>
      </c>
      <c r="W229" s="4">
        <f>IFERROR(Table1[[#This Row],[Market_Budget]]/Table1[[#This Row],[Orders]],0)</f>
        <v>1555.96</v>
      </c>
      <c r="X229" s="15">
        <f>(Table1[[#This Row],[Revenue]]-Table1[[#This Row],[Market_Budget]])/Table1[[#This Row],[Market_Budget]]</f>
        <v>1.5662613434792667</v>
      </c>
      <c r="Y229" s="5">
        <f>Table1[[#This Row],[Revenue]]-Table1[[#This Row],[Market_Budget]]</f>
        <v>2437.04</v>
      </c>
    </row>
    <row r="230" spans="1:25" x14ac:dyDescent="0.35">
      <c r="A230">
        <v>544756</v>
      </c>
      <c r="B230" s="1">
        <v>44248</v>
      </c>
      <c r="C230" s="1" t="str">
        <f>TEXT(Table1[[#This Row],[Date]],"dddd")</f>
        <v>Sunday</v>
      </c>
      <c r="D230" s="1" t="str">
        <f>IF(WEEKDAY(Table1[[#This Row],[Date]],2)&gt;5,"Weekend","Weekday")</f>
        <v>Weekend</v>
      </c>
      <c r="E230" t="s">
        <v>44</v>
      </c>
      <c r="F230" t="str">
        <f>_xlfn.TEXTAFTER(Table1[[#This Row],[Campaign_Name]],"_")</f>
        <v>Lal</v>
      </c>
      <c r="G230" t="str">
        <f>IF(ISNUMBER(SEARCH("Tier1",Table1[[#This Row],[Campaign_Name]])),"Tier1",IF(ISNUMBER(SEARCH("Tier2",Table1[[#This Row],[Campaign_Name]])),"Tier2","Not Applicable"))</f>
        <v>Not Applicable</v>
      </c>
      <c r="H230" t="s">
        <v>61</v>
      </c>
      <c r="I230" s="3">
        <v>32169.9</v>
      </c>
      <c r="J230" s="7">
        <v>119400</v>
      </c>
      <c r="K230" s="7">
        <v>1194</v>
      </c>
      <c r="L230" s="7">
        <v>24</v>
      </c>
      <c r="M230" s="7">
        <v>4</v>
      </c>
      <c r="N230" s="2">
        <v>3924</v>
      </c>
      <c r="O230" s="6">
        <f>Table1[[#This Row],[Clicks]]/Table1[[#This Row],[Impressions]]</f>
        <v>0.01</v>
      </c>
      <c r="P230" s="6">
        <f>Table1[[#This Row],[Leads]]/Table1[[#This Row],[Clicks]]</f>
        <v>2.0100502512562814E-2</v>
      </c>
      <c r="Q230" s="6" t="str">
        <f>IF(Table1[[#This Row],[Conversion1]]&gt;=2%,"High","Low")</f>
        <v>High</v>
      </c>
      <c r="R230" s="6">
        <f>IFERROR(Table1[[#This Row],[Orders]]/Table1[[#This Row],[Leads]],0)</f>
        <v>0.16666666666666666</v>
      </c>
      <c r="S230" s="6" t="str">
        <f>IF(Table1[[#This Row],[Conversion2]]&gt;=15%,"High","Low")</f>
        <v>High</v>
      </c>
      <c r="T230" s="4">
        <f>IFERROR(Table1[[#This Row],[Revenue]]/Table1[[#This Row],[Orders]],0)</f>
        <v>981</v>
      </c>
      <c r="U230" s="4">
        <f>Table1[[#This Row],[Market_Budget]]/Table1[[#This Row],[Clicks]]</f>
        <v>26.942964824120605</v>
      </c>
      <c r="V230" s="4">
        <f>IFERROR(Table1[[#This Row],[Market_Budget]]/Table1[[#This Row],[Leads]],0)</f>
        <v>1340.4125000000001</v>
      </c>
      <c r="W230" s="4">
        <f>IFERROR(Table1[[#This Row],[Market_Budget]]/Table1[[#This Row],[Orders]],0)</f>
        <v>8042.4750000000004</v>
      </c>
      <c r="X230" s="15">
        <f>(Table1[[#This Row],[Revenue]]-Table1[[#This Row],[Market_Budget]])/Table1[[#This Row],[Market_Budget]]</f>
        <v>-0.87802262363265038</v>
      </c>
      <c r="Y230" s="5">
        <f>Table1[[#This Row],[Revenue]]-Table1[[#This Row],[Market_Budget]]</f>
        <v>-28245.9</v>
      </c>
    </row>
    <row r="231" spans="1:25" x14ac:dyDescent="0.35">
      <c r="A231">
        <v>374754</v>
      </c>
      <c r="B231" s="1">
        <v>44248</v>
      </c>
      <c r="C231" s="1" t="str">
        <f>TEXT(Table1[[#This Row],[Date]],"dddd")</f>
        <v>Sunday</v>
      </c>
      <c r="D231" s="1" t="str">
        <f>IF(WEEKDAY(Table1[[#This Row],[Date]],2)&gt;5,"Weekend","Weekday")</f>
        <v>Weekend</v>
      </c>
      <c r="E231" t="s">
        <v>45</v>
      </c>
      <c r="F231" t="str">
        <f>_xlfn.TEXTAFTER(Table1[[#This Row],[Campaign_Name]],"_")</f>
        <v>Blogger</v>
      </c>
      <c r="G231" t="str">
        <f>IF(ISNUMBER(SEARCH("Tier1",Table1[[#This Row],[Campaign_Name]])),"Tier1",IF(ISNUMBER(SEARCH("Tier2",Table1[[#This Row],[Campaign_Name]])),"Tier2","Not Applicable"))</f>
        <v>Not Applicable</v>
      </c>
      <c r="H231" t="s">
        <v>48</v>
      </c>
      <c r="I231" s="3">
        <v>65006.3</v>
      </c>
      <c r="J231" s="7">
        <v>300900</v>
      </c>
      <c r="K231" s="7">
        <v>3009</v>
      </c>
      <c r="L231" s="7">
        <v>89</v>
      </c>
      <c r="M231" s="7">
        <v>17</v>
      </c>
      <c r="N231" s="2">
        <v>84677</v>
      </c>
      <c r="O231" s="6">
        <f>Table1[[#This Row],[Clicks]]/Table1[[#This Row],[Impressions]]</f>
        <v>0.01</v>
      </c>
      <c r="P231" s="6">
        <f>Table1[[#This Row],[Leads]]/Table1[[#This Row],[Clicks]]</f>
        <v>2.9577932868062481E-2</v>
      </c>
      <c r="Q231" s="6" t="str">
        <f>IF(Table1[[#This Row],[Conversion1]]&gt;=2%,"High","Low")</f>
        <v>High</v>
      </c>
      <c r="R231" s="6">
        <f>IFERROR(Table1[[#This Row],[Orders]]/Table1[[#This Row],[Leads]],0)</f>
        <v>0.19101123595505617</v>
      </c>
      <c r="S231" s="6" t="str">
        <f>IF(Table1[[#This Row],[Conversion2]]&gt;=15%,"High","Low")</f>
        <v>High</v>
      </c>
      <c r="T231" s="4">
        <f>IFERROR(Table1[[#This Row],[Revenue]]/Table1[[#This Row],[Orders]],0)</f>
        <v>4981</v>
      </c>
      <c r="U231" s="4">
        <f>Table1[[#This Row],[Market_Budget]]/Table1[[#This Row],[Clicks]]</f>
        <v>21.603954802259889</v>
      </c>
      <c r="V231" s="4">
        <f>IFERROR(Table1[[#This Row],[Market_Budget]]/Table1[[#This Row],[Leads]],0)</f>
        <v>730.40786516853939</v>
      </c>
      <c r="W231" s="4">
        <f>IFERROR(Table1[[#This Row],[Market_Budget]]/Table1[[#This Row],[Orders]],0)</f>
        <v>3823.9</v>
      </c>
      <c r="X231" s="15">
        <f>(Table1[[#This Row],[Revenue]]-Table1[[#This Row],[Market_Budget]])/Table1[[#This Row],[Market_Budget]]</f>
        <v>0.30259682523078524</v>
      </c>
      <c r="Y231" s="5">
        <f>Table1[[#This Row],[Revenue]]-Table1[[#This Row],[Market_Budget]]</f>
        <v>19670.699999999997</v>
      </c>
    </row>
    <row r="232" spans="1:25" x14ac:dyDescent="0.35">
      <c r="A232">
        <v>39889</v>
      </c>
      <c r="B232" s="1">
        <v>44248</v>
      </c>
      <c r="C232" s="1" t="str">
        <f>TEXT(Table1[[#This Row],[Date]],"dddd")</f>
        <v>Sunday</v>
      </c>
      <c r="D232" s="1" t="str">
        <f>IF(WEEKDAY(Table1[[#This Row],[Date]],2)&gt;5,"Weekend","Weekday")</f>
        <v>Weekend</v>
      </c>
      <c r="E232" t="s">
        <v>46</v>
      </c>
      <c r="F232" t="str">
        <f>_xlfn.TEXTAFTER(Table1[[#This Row],[Campaign_Name]],"_")</f>
        <v>Partner</v>
      </c>
      <c r="G232" t="str">
        <f>IF(ISNUMBER(SEARCH("Tier1",Table1[[#This Row],[Campaign_Name]])),"Tier1",IF(ISNUMBER(SEARCH("Tier2",Table1[[#This Row],[Campaign_Name]])),"Tier2","Not Applicable"))</f>
        <v>Not Applicable</v>
      </c>
      <c r="H232" t="s">
        <v>62</v>
      </c>
      <c r="I232" s="3">
        <v>25023.200000000001</v>
      </c>
      <c r="J232" s="7">
        <v>42080000</v>
      </c>
      <c r="K232" s="7">
        <v>4208</v>
      </c>
      <c r="L232" s="7">
        <v>67</v>
      </c>
      <c r="M232" s="7">
        <v>10</v>
      </c>
      <c r="N232" s="2">
        <v>31710</v>
      </c>
      <c r="O232" s="6">
        <f>Table1[[#This Row],[Clicks]]/Table1[[#This Row],[Impressions]]</f>
        <v>1E-4</v>
      </c>
      <c r="P232" s="6">
        <f>Table1[[#This Row],[Leads]]/Table1[[#This Row],[Clicks]]</f>
        <v>1.5922053231939164E-2</v>
      </c>
      <c r="Q232" s="6" t="str">
        <f>IF(Table1[[#This Row],[Conversion1]]&gt;=2%,"High","Low")</f>
        <v>Low</v>
      </c>
      <c r="R232" s="6">
        <f>IFERROR(Table1[[#This Row],[Orders]]/Table1[[#This Row],[Leads]],0)</f>
        <v>0.14925373134328357</v>
      </c>
      <c r="S232" s="6" t="str">
        <f>IF(Table1[[#This Row],[Conversion2]]&gt;=15%,"High","Low")</f>
        <v>Low</v>
      </c>
      <c r="T232" s="4">
        <f>IFERROR(Table1[[#This Row],[Revenue]]/Table1[[#This Row],[Orders]],0)</f>
        <v>3171</v>
      </c>
      <c r="U232" s="4">
        <f>Table1[[#This Row],[Market_Budget]]/Table1[[#This Row],[Clicks]]</f>
        <v>5.9465779467680608</v>
      </c>
      <c r="V232" s="4">
        <f>IFERROR(Table1[[#This Row],[Market_Budget]]/Table1[[#This Row],[Leads]],0)</f>
        <v>373.48059701492537</v>
      </c>
      <c r="W232" s="4">
        <f>IFERROR(Table1[[#This Row],[Market_Budget]]/Table1[[#This Row],[Orders]],0)</f>
        <v>2502.3200000000002</v>
      </c>
      <c r="X232" s="15">
        <f>(Table1[[#This Row],[Revenue]]-Table1[[#This Row],[Market_Budget]])/Table1[[#This Row],[Market_Budget]]</f>
        <v>0.26722401611304708</v>
      </c>
      <c r="Y232" s="5">
        <f>Table1[[#This Row],[Revenue]]-Table1[[#This Row],[Market_Budget]]</f>
        <v>6686.7999999999993</v>
      </c>
    </row>
    <row r="233" spans="1:25" x14ac:dyDescent="0.35">
      <c r="A233">
        <v>349043</v>
      </c>
      <c r="B233" s="1">
        <v>44249</v>
      </c>
      <c r="C233" s="1" t="str">
        <f>TEXT(Table1[[#This Row],[Date]],"dddd")</f>
        <v>Monday</v>
      </c>
      <c r="D233" s="1" t="str">
        <f>IF(WEEKDAY(Table1[[#This Row],[Date]],2)&gt;5,"Weekend","Weekday")</f>
        <v>Weekday</v>
      </c>
      <c r="E233" t="s">
        <v>36</v>
      </c>
      <c r="F233" t="str">
        <f>_xlfn.TEXTAFTER(Table1[[#This Row],[Campaign_Name]],"_")</f>
        <v>Tier1</v>
      </c>
      <c r="G233" t="str">
        <f>IF(ISNUMBER(SEARCH("Tier1",Table1[[#This Row],[Campaign_Name]])),"Tier1",IF(ISNUMBER(SEARCH("Tier2",Table1[[#This Row],[Campaign_Name]])),"Tier2","Not Applicable"))</f>
        <v>Tier1</v>
      </c>
      <c r="H233" t="s">
        <v>61</v>
      </c>
      <c r="I233" s="3">
        <v>59710</v>
      </c>
      <c r="J233" s="7">
        <v>605386</v>
      </c>
      <c r="K233" s="7">
        <v>4802</v>
      </c>
      <c r="L233" s="7">
        <v>96</v>
      </c>
      <c r="M233" s="7">
        <v>12</v>
      </c>
      <c r="N233" s="2">
        <v>67632</v>
      </c>
      <c r="O233" s="6">
        <f>Table1[[#This Row],[Clicks]]/Table1[[#This Row],[Impressions]]</f>
        <v>7.9321292530715945E-3</v>
      </c>
      <c r="P233" s="6">
        <f>Table1[[#This Row],[Leads]]/Table1[[#This Row],[Clicks]]</f>
        <v>1.9991670137442734E-2</v>
      </c>
      <c r="Q233" s="6" t="str">
        <f>IF(Table1[[#This Row],[Conversion1]]&gt;=2%,"High","Low")</f>
        <v>Low</v>
      </c>
      <c r="R233" s="6">
        <f>IFERROR(Table1[[#This Row],[Orders]]/Table1[[#This Row],[Leads]],0)</f>
        <v>0.125</v>
      </c>
      <c r="S233" s="6" t="str">
        <f>IF(Table1[[#This Row],[Conversion2]]&gt;=15%,"High","Low")</f>
        <v>Low</v>
      </c>
      <c r="T233" s="4">
        <f>IFERROR(Table1[[#This Row],[Revenue]]/Table1[[#This Row],[Orders]],0)</f>
        <v>5636</v>
      </c>
      <c r="U233" s="4">
        <f>Table1[[#This Row],[Market_Budget]]/Table1[[#This Row],[Clicks]]</f>
        <v>12.434402332361516</v>
      </c>
      <c r="V233" s="4">
        <f>IFERROR(Table1[[#This Row],[Market_Budget]]/Table1[[#This Row],[Leads]],0)</f>
        <v>621.97916666666663</v>
      </c>
      <c r="W233" s="4">
        <f>IFERROR(Table1[[#This Row],[Market_Budget]]/Table1[[#This Row],[Orders]],0)</f>
        <v>4975.833333333333</v>
      </c>
      <c r="X233" s="15">
        <f>(Table1[[#This Row],[Revenue]]-Table1[[#This Row],[Market_Budget]])/Table1[[#This Row],[Market_Budget]]</f>
        <v>0.13267459387037348</v>
      </c>
      <c r="Y233" s="5">
        <f>Table1[[#This Row],[Revenue]]-Table1[[#This Row],[Market_Budget]]</f>
        <v>7922</v>
      </c>
    </row>
    <row r="234" spans="1:25" x14ac:dyDescent="0.35">
      <c r="A234">
        <v>348934</v>
      </c>
      <c r="B234" s="1">
        <v>44249</v>
      </c>
      <c r="C234" s="1" t="str">
        <f>TEXT(Table1[[#This Row],[Date]],"dddd")</f>
        <v>Monday</v>
      </c>
      <c r="D234" s="1" t="str">
        <f>IF(WEEKDAY(Table1[[#This Row],[Date]],2)&gt;5,"Weekend","Weekday")</f>
        <v>Weekday</v>
      </c>
      <c r="E234" t="s">
        <v>37</v>
      </c>
      <c r="F234" t="str">
        <f>_xlfn.TEXTAFTER(Table1[[#This Row],[Campaign_Name]],"_")</f>
        <v>Tier2</v>
      </c>
      <c r="G234" t="str">
        <f>IF(ISNUMBER(SEARCH("Tier1",Table1[[#This Row],[Campaign_Name]])),"Tier1",IF(ISNUMBER(SEARCH("Tier2",Table1[[#This Row],[Campaign_Name]])),"Tier2","Not Applicable"))</f>
        <v>Tier2</v>
      </c>
      <c r="H234" t="s">
        <v>61</v>
      </c>
      <c r="I234" s="3">
        <v>95536.2</v>
      </c>
      <c r="J234" s="7">
        <v>2090371</v>
      </c>
      <c r="K234" s="7">
        <v>6606</v>
      </c>
      <c r="L234" s="7">
        <v>132</v>
      </c>
      <c r="M234" s="7">
        <v>14</v>
      </c>
      <c r="N234" s="2">
        <v>69734</v>
      </c>
      <c r="O234" s="6">
        <f>Table1[[#This Row],[Clicks]]/Table1[[#This Row],[Impressions]]</f>
        <v>3.1602045761254822E-3</v>
      </c>
      <c r="P234" s="6">
        <f>Table1[[#This Row],[Leads]]/Table1[[#This Row],[Clicks]]</f>
        <v>1.9981834695731154E-2</v>
      </c>
      <c r="Q234" s="6" t="str">
        <f>IF(Table1[[#This Row],[Conversion1]]&gt;=2%,"High","Low")</f>
        <v>Low</v>
      </c>
      <c r="R234" s="6">
        <f>IFERROR(Table1[[#This Row],[Orders]]/Table1[[#This Row],[Leads]],0)</f>
        <v>0.10606060606060606</v>
      </c>
      <c r="S234" s="6" t="str">
        <f>IF(Table1[[#This Row],[Conversion2]]&gt;=15%,"High","Low")</f>
        <v>Low</v>
      </c>
      <c r="T234" s="4">
        <f>IFERROR(Table1[[#This Row],[Revenue]]/Table1[[#This Row],[Orders]],0)</f>
        <v>4981</v>
      </c>
      <c r="U234" s="4">
        <f>Table1[[#This Row],[Market_Budget]]/Table1[[#This Row],[Clicks]]</f>
        <v>14.462034514078111</v>
      </c>
      <c r="V234" s="4">
        <f>IFERROR(Table1[[#This Row],[Market_Budget]]/Table1[[#This Row],[Leads]],0)</f>
        <v>723.7590909090909</v>
      </c>
      <c r="W234" s="4">
        <f>IFERROR(Table1[[#This Row],[Market_Budget]]/Table1[[#This Row],[Orders]],0)</f>
        <v>6824.0142857142855</v>
      </c>
      <c r="X234" s="15">
        <f>(Table1[[#This Row],[Revenue]]-Table1[[#This Row],[Market_Budget]])/Table1[[#This Row],[Market_Budget]]</f>
        <v>-0.27007772969827143</v>
      </c>
      <c r="Y234" s="5">
        <f>Table1[[#This Row],[Revenue]]-Table1[[#This Row],[Market_Budget]]</f>
        <v>-25802.199999999997</v>
      </c>
    </row>
    <row r="235" spans="1:25" x14ac:dyDescent="0.35">
      <c r="A235">
        <v>89459845</v>
      </c>
      <c r="B235" s="1">
        <v>44249</v>
      </c>
      <c r="C235" s="1" t="str">
        <f>TEXT(Table1[[#This Row],[Date]],"dddd")</f>
        <v>Monday</v>
      </c>
      <c r="D235" s="1" t="str">
        <f>IF(WEEKDAY(Table1[[#This Row],[Date]],2)&gt;5,"Weekend","Weekday")</f>
        <v>Weekday</v>
      </c>
      <c r="E235" t="s">
        <v>38</v>
      </c>
      <c r="F235" t="str">
        <f>_xlfn.TEXTAFTER(Table1[[#This Row],[Campaign_Name]],"_")</f>
        <v>Hot</v>
      </c>
      <c r="G235" t="str">
        <f>IF(ISNUMBER(SEARCH("Tier1",Table1[[#This Row],[Campaign_Name]])),"Tier1",IF(ISNUMBER(SEARCH("Tier2",Table1[[#This Row],[Campaign_Name]])),"Tier2","Not Applicable"))</f>
        <v>Not Applicable</v>
      </c>
      <c r="H235" t="s">
        <v>47</v>
      </c>
      <c r="I235" s="3">
        <v>30645.4</v>
      </c>
      <c r="J235" s="7">
        <v>90500</v>
      </c>
      <c r="K235" s="7">
        <v>1810</v>
      </c>
      <c r="L235" s="7">
        <v>65</v>
      </c>
      <c r="M235" s="7">
        <v>7</v>
      </c>
      <c r="N235" s="2">
        <v>59045</v>
      </c>
      <c r="O235" s="6">
        <f>Table1[[#This Row],[Clicks]]/Table1[[#This Row],[Impressions]]</f>
        <v>0.02</v>
      </c>
      <c r="P235" s="6">
        <f>Table1[[#This Row],[Leads]]/Table1[[#This Row],[Clicks]]</f>
        <v>3.591160220994475E-2</v>
      </c>
      <c r="Q235" s="6" t="str">
        <f>IF(Table1[[#This Row],[Conversion1]]&gt;=2%,"High","Low")</f>
        <v>High</v>
      </c>
      <c r="R235" s="6">
        <f>IFERROR(Table1[[#This Row],[Orders]]/Table1[[#This Row],[Leads]],0)</f>
        <v>0.1076923076923077</v>
      </c>
      <c r="S235" s="6" t="str">
        <f>IF(Table1[[#This Row],[Conversion2]]&gt;=15%,"High","Low")</f>
        <v>Low</v>
      </c>
      <c r="T235" s="4">
        <f>IFERROR(Table1[[#This Row],[Revenue]]/Table1[[#This Row],[Orders]],0)</f>
        <v>8435</v>
      </c>
      <c r="U235" s="4">
        <f>Table1[[#This Row],[Market_Budget]]/Table1[[#This Row],[Clicks]]</f>
        <v>16.931160220994474</v>
      </c>
      <c r="V235" s="4">
        <f>IFERROR(Table1[[#This Row],[Market_Budget]]/Table1[[#This Row],[Leads]],0)</f>
        <v>471.46769230769235</v>
      </c>
      <c r="W235" s="4">
        <f>IFERROR(Table1[[#This Row],[Market_Budget]]/Table1[[#This Row],[Orders]],0)</f>
        <v>4377.9142857142861</v>
      </c>
      <c r="X235" s="15">
        <f>(Table1[[#This Row],[Revenue]]-Table1[[#This Row],[Market_Budget]])/Table1[[#This Row],[Market_Budget]]</f>
        <v>0.92671657083934289</v>
      </c>
      <c r="Y235" s="5">
        <f>Table1[[#This Row],[Revenue]]-Table1[[#This Row],[Market_Budget]]</f>
        <v>28399.599999999999</v>
      </c>
    </row>
    <row r="236" spans="1:25" x14ac:dyDescent="0.35">
      <c r="A236">
        <v>127823</v>
      </c>
      <c r="B236" s="1">
        <v>44249</v>
      </c>
      <c r="C236" s="1" t="str">
        <f>TEXT(Table1[[#This Row],[Date]],"dddd")</f>
        <v>Monday</v>
      </c>
      <c r="D236" s="1" t="str">
        <f>IF(WEEKDAY(Table1[[#This Row],[Date]],2)&gt;5,"Weekend","Weekday")</f>
        <v>Weekday</v>
      </c>
      <c r="E236" t="s">
        <v>39</v>
      </c>
      <c r="F236" t="str">
        <f>_xlfn.TEXTAFTER(Table1[[#This Row],[Campaign_Name]],"_")</f>
        <v>Wide</v>
      </c>
      <c r="G236" t="str">
        <f>IF(ISNUMBER(SEARCH("Tier1",Table1[[#This Row],[Campaign_Name]])),"Tier1",IF(ISNUMBER(SEARCH("Tier2",Table1[[#This Row],[Campaign_Name]])),"Tier2","Not Applicable"))</f>
        <v>Not Applicable</v>
      </c>
      <c r="H236" t="s">
        <v>47</v>
      </c>
      <c r="I236" s="3">
        <v>12348.3</v>
      </c>
      <c r="J236" s="7">
        <v>959600</v>
      </c>
      <c r="K236" s="7">
        <v>4798</v>
      </c>
      <c r="L236" s="7">
        <v>39</v>
      </c>
      <c r="M236" s="7">
        <v>4</v>
      </c>
      <c r="N236" s="2">
        <v>11924</v>
      </c>
      <c r="O236" s="6">
        <f>Table1[[#This Row],[Clicks]]/Table1[[#This Row],[Impressions]]</f>
        <v>5.0000000000000001E-3</v>
      </c>
      <c r="P236" s="6">
        <f>Table1[[#This Row],[Leads]]/Table1[[#This Row],[Clicks]]</f>
        <v>8.1283868278449346E-3</v>
      </c>
      <c r="Q236" s="6" t="str">
        <f>IF(Table1[[#This Row],[Conversion1]]&gt;=2%,"High","Low")</f>
        <v>Low</v>
      </c>
      <c r="R236" s="6">
        <f>IFERROR(Table1[[#This Row],[Orders]]/Table1[[#This Row],[Leads]],0)</f>
        <v>0.10256410256410256</v>
      </c>
      <c r="S236" s="6" t="str">
        <f>IF(Table1[[#This Row],[Conversion2]]&gt;=15%,"High","Low")</f>
        <v>Low</v>
      </c>
      <c r="T236" s="4">
        <f>IFERROR(Table1[[#This Row],[Revenue]]/Table1[[#This Row],[Orders]],0)</f>
        <v>2981</v>
      </c>
      <c r="U236" s="4">
        <f>Table1[[#This Row],[Market_Budget]]/Table1[[#This Row],[Clicks]]</f>
        <v>2.5736348478532722</v>
      </c>
      <c r="V236" s="4">
        <f>IFERROR(Table1[[#This Row],[Market_Budget]]/Table1[[#This Row],[Leads]],0)</f>
        <v>316.62307692307689</v>
      </c>
      <c r="W236" s="4">
        <f>IFERROR(Table1[[#This Row],[Market_Budget]]/Table1[[#This Row],[Orders]],0)</f>
        <v>3087.0749999999998</v>
      </c>
      <c r="X236" s="15">
        <f>(Table1[[#This Row],[Revenue]]-Table1[[#This Row],[Market_Budget]])/Table1[[#This Row],[Market_Budget]]</f>
        <v>-3.4361005158604768E-2</v>
      </c>
      <c r="Y236" s="5">
        <f>Table1[[#This Row],[Revenue]]-Table1[[#This Row],[Market_Budget]]</f>
        <v>-424.29999999999927</v>
      </c>
    </row>
    <row r="237" spans="1:25" x14ac:dyDescent="0.35">
      <c r="A237">
        <v>10934</v>
      </c>
      <c r="B237" s="1">
        <v>44249</v>
      </c>
      <c r="C237" s="1" t="str">
        <f>TEXT(Table1[[#This Row],[Date]],"dddd")</f>
        <v>Monday</v>
      </c>
      <c r="D237" s="1" t="str">
        <f>IF(WEEKDAY(Table1[[#This Row],[Date]],2)&gt;5,"Weekend","Weekday")</f>
        <v>Weekday</v>
      </c>
      <c r="E237" t="s">
        <v>40</v>
      </c>
      <c r="F237" t="str">
        <f>_xlfn.TEXTAFTER(Table1[[#This Row],[Campaign_Name]],"_")</f>
        <v>Blogger</v>
      </c>
      <c r="G237" t="str">
        <f>IF(ISNUMBER(SEARCH("Tier1",Table1[[#This Row],[Campaign_Name]])),"Tier1",IF(ISNUMBER(SEARCH("Tier2",Table1[[#This Row],[Campaign_Name]])),"Tier2","Not Applicable"))</f>
        <v>Not Applicable</v>
      </c>
      <c r="H237" t="s">
        <v>48</v>
      </c>
      <c r="I237" s="3">
        <v>77803.8</v>
      </c>
      <c r="J237" s="7">
        <v>757387</v>
      </c>
      <c r="K237" s="7">
        <v>8997</v>
      </c>
      <c r="L237" s="7">
        <v>180</v>
      </c>
      <c r="M237" s="7">
        <v>42</v>
      </c>
      <c r="N237" s="2">
        <v>359394</v>
      </c>
      <c r="O237" s="6">
        <f>Table1[[#This Row],[Clicks]]/Table1[[#This Row],[Impressions]]</f>
        <v>1.1878999771583087E-2</v>
      </c>
      <c r="P237" s="6">
        <f>Table1[[#This Row],[Leads]]/Table1[[#This Row],[Clicks]]</f>
        <v>2.0006668889629875E-2</v>
      </c>
      <c r="Q237" s="6" t="str">
        <f>IF(Table1[[#This Row],[Conversion1]]&gt;=2%,"High","Low")</f>
        <v>High</v>
      </c>
      <c r="R237" s="6">
        <f>IFERROR(Table1[[#This Row],[Orders]]/Table1[[#This Row],[Leads]],0)</f>
        <v>0.23333333333333334</v>
      </c>
      <c r="S237" s="6" t="str">
        <f>IF(Table1[[#This Row],[Conversion2]]&gt;=15%,"High","Low")</f>
        <v>High</v>
      </c>
      <c r="T237" s="4">
        <f>IFERROR(Table1[[#This Row],[Revenue]]/Table1[[#This Row],[Orders]],0)</f>
        <v>8557</v>
      </c>
      <c r="U237" s="4">
        <f>Table1[[#This Row],[Market_Budget]]/Table1[[#This Row],[Clicks]]</f>
        <v>8.6477492497499178</v>
      </c>
      <c r="V237" s="4">
        <f>IFERROR(Table1[[#This Row],[Market_Budget]]/Table1[[#This Row],[Leads]],0)</f>
        <v>432.24333333333334</v>
      </c>
      <c r="W237" s="4">
        <f>IFERROR(Table1[[#This Row],[Market_Budget]]/Table1[[#This Row],[Orders]],0)</f>
        <v>1852.4714285714285</v>
      </c>
      <c r="X237" s="15">
        <f>(Table1[[#This Row],[Revenue]]-Table1[[#This Row],[Market_Budget]])/Table1[[#This Row],[Market_Budget]]</f>
        <v>3.6192345361023497</v>
      </c>
      <c r="Y237" s="5">
        <f>Table1[[#This Row],[Revenue]]-Table1[[#This Row],[Market_Budget]]</f>
        <v>281590.2</v>
      </c>
    </row>
    <row r="238" spans="1:25" x14ac:dyDescent="0.35">
      <c r="A238">
        <v>9034945</v>
      </c>
      <c r="B238" s="1">
        <v>44249</v>
      </c>
      <c r="C238" s="1" t="str">
        <f>TEXT(Table1[[#This Row],[Date]],"dddd")</f>
        <v>Monday</v>
      </c>
      <c r="D238" s="1" t="str">
        <f>IF(WEEKDAY(Table1[[#This Row],[Date]],2)&gt;5,"Weekend","Weekday")</f>
        <v>Weekday</v>
      </c>
      <c r="E238" t="s">
        <v>41</v>
      </c>
      <c r="F238" t="str">
        <f>_xlfn.TEXTAFTER(Table1[[#This Row],[Campaign_Name]],"_")</f>
        <v>Tier1</v>
      </c>
      <c r="G238" t="str">
        <f>IF(ISNUMBER(SEARCH("Tier1",Table1[[#This Row],[Campaign_Name]])),"Tier1",IF(ISNUMBER(SEARCH("Tier2",Table1[[#This Row],[Campaign_Name]])),"Tier2","Not Applicable"))</f>
        <v>Tier1</v>
      </c>
      <c r="H238" t="s">
        <v>61</v>
      </c>
      <c r="I238" s="3">
        <v>33474.699999999997</v>
      </c>
      <c r="J238" s="7">
        <v>4565811</v>
      </c>
      <c r="K238" s="7">
        <v>5397</v>
      </c>
      <c r="L238" s="7">
        <v>108</v>
      </c>
      <c r="M238" s="7">
        <v>9</v>
      </c>
      <c r="N238" s="2">
        <v>53829</v>
      </c>
      <c r="O238" s="6">
        <f>Table1[[#This Row],[Clicks]]/Table1[[#This Row],[Impressions]]</f>
        <v>1.1820463002082215E-3</v>
      </c>
      <c r="P238" s="6">
        <f>Table1[[#This Row],[Leads]]/Table1[[#This Row],[Clicks]]</f>
        <v>2.0011117287381877E-2</v>
      </c>
      <c r="Q238" s="6" t="str">
        <f>IF(Table1[[#This Row],[Conversion1]]&gt;=2%,"High","Low")</f>
        <v>High</v>
      </c>
      <c r="R238" s="6">
        <f>IFERROR(Table1[[#This Row],[Orders]]/Table1[[#This Row],[Leads]],0)</f>
        <v>8.3333333333333329E-2</v>
      </c>
      <c r="S238" s="6" t="str">
        <f>IF(Table1[[#This Row],[Conversion2]]&gt;=15%,"High","Low")</f>
        <v>Low</v>
      </c>
      <c r="T238" s="4">
        <f>IFERROR(Table1[[#This Row],[Revenue]]/Table1[[#This Row],[Orders]],0)</f>
        <v>5981</v>
      </c>
      <c r="U238" s="4">
        <f>Table1[[#This Row],[Market_Budget]]/Table1[[#This Row],[Clicks]]</f>
        <v>6.2024643320363158</v>
      </c>
      <c r="V238" s="4">
        <f>IFERROR(Table1[[#This Row],[Market_Budget]]/Table1[[#This Row],[Leads]],0)</f>
        <v>309.9509259259259</v>
      </c>
      <c r="W238" s="4">
        <f>IFERROR(Table1[[#This Row],[Market_Budget]]/Table1[[#This Row],[Orders]],0)</f>
        <v>3719.4111111111106</v>
      </c>
      <c r="X238" s="15">
        <f>(Table1[[#This Row],[Revenue]]-Table1[[#This Row],[Market_Budget]])/Table1[[#This Row],[Market_Budget]]</f>
        <v>0.60805025885220798</v>
      </c>
      <c r="Y238" s="5">
        <f>Table1[[#This Row],[Revenue]]-Table1[[#This Row],[Market_Budget]]</f>
        <v>20354.300000000003</v>
      </c>
    </row>
    <row r="239" spans="1:25" x14ac:dyDescent="0.35">
      <c r="A239">
        <v>983498</v>
      </c>
      <c r="B239" s="1">
        <v>44249</v>
      </c>
      <c r="C239" s="1" t="str">
        <f>TEXT(Table1[[#This Row],[Date]],"dddd")</f>
        <v>Monday</v>
      </c>
      <c r="D239" s="1" t="str">
        <f>IF(WEEKDAY(Table1[[#This Row],[Date]],2)&gt;5,"Weekend","Weekday")</f>
        <v>Weekday</v>
      </c>
      <c r="E239" t="s">
        <v>42</v>
      </c>
      <c r="F239" t="str">
        <f>_xlfn.TEXTAFTER(Table1[[#This Row],[Campaign_Name]],"_")</f>
        <v>Tier2</v>
      </c>
      <c r="G239" t="str">
        <f>IF(ISNUMBER(SEARCH("Tier1",Table1[[#This Row],[Campaign_Name]])),"Tier1",IF(ISNUMBER(SEARCH("Tier2",Table1[[#This Row],[Campaign_Name]])),"Tier2","Not Applicable"))</f>
        <v>Tier2</v>
      </c>
      <c r="H239" t="s">
        <v>61</v>
      </c>
      <c r="I239" s="3">
        <v>19196.599999999999</v>
      </c>
      <c r="J239" s="7">
        <v>2190892</v>
      </c>
      <c r="K239" s="7">
        <v>10202</v>
      </c>
      <c r="L239" s="7">
        <v>124</v>
      </c>
      <c r="M239" s="7">
        <v>7</v>
      </c>
      <c r="N239" s="2">
        <v>14602</v>
      </c>
      <c r="O239" s="6">
        <f>Table1[[#This Row],[Clicks]]/Table1[[#This Row],[Impressions]]</f>
        <v>4.656550847782547E-3</v>
      </c>
      <c r="P239" s="6">
        <f>Table1[[#This Row],[Leads]]/Table1[[#This Row],[Clicks]]</f>
        <v>1.215447951382082E-2</v>
      </c>
      <c r="Q239" s="6" t="str">
        <f>IF(Table1[[#This Row],[Conversion1]]&gt;=2%,"High","Low")</f>
        <v>Low</v>
      </c>
      <c r="R239" s="6">
        <f>IFERROR(Table1[[#This Row],[Orders]]/Table1[[#This Row],[Leads]],0)</f>
        <v>5.6451612903225805E-2</v>
      </c>
      <c r="S239" s="6" t="str">
        <f>IF(Table1[[#This Row],[Conversion2]]&gt;=15%,"High","Low")</f>
        <v>Low</v>
      </c>
      <c r="T239" s="4">
        <f>IFERROR(Table1[[#This Row],[Revenue]]/Table1[[#This Row],[Orders]],0)</f>
        <v>2086</v>
      </c>
      <c r="U239" s="4">
        <f>Table1[[#This Row],[Market_Budget]]/Table1[[#This Row],[Clicks]]</f>
        <v>1.8816506567339737</v>
      </c>
      <c r="V239" s="4">
        <f>IFERROR(Table1[[#This Row],[Market_Budget]]/Table1[[#This Row],[Leads]],0)</f>
        <v>154.81129032258065</v>
      </c>
      <c r="W239" s="4">
        <f>IFERROR(Table1[[#This Row],[Market_Budget]]/Table1[[#This Row],[Orders]],0)</f>
        <v>2742.3714285714282</v>
      </c>
      <c r="X239" s="15">
        <f>(Table1[[#This Row],[Revenue]]-Table1[[#This Row],[Market_Budget]])/Table1[[#This Row],[Market_Budget]]</f>
        <v>-0.23934446724940869</v>
      </c>
      <c r="Y239" s="5">
        <f>Table1[[#This Row],[Revenue]]-Table1[[#This Row],[Market_Budget]]</f>
        <v>-4594.5999999999985</v>
      </c>
    </row>
    <row r="240" spans="1:25" x14ac:dyDescent="0.35">
      <c r="A240">
        <v>4387490</v>
      </c>
      <c r="B240" s="1">
        <v>44249</v>
      </c>
      <c r="C240" s="1" t="str">
        <f>TEXT(Table1[[#This Row],[Date]],"dddd")</f>
        <v>Monday</v>
      </c>
      <c r="D240" s="1" t="str">
        <f>IF(WEEKDAY(Table1[[#This Row],[Date]],2)&gt;5,"Weekend","Weekday")</f>
        <v>Weekday</v>
      </c>
      <c r="E240" t="s">
        <v>43</v>
      </c>
      <c r="F240" t="str">
        <f>_xlfn.TEXTAFTER(Table1[[#This Row],[Campaign_Name]],"_")</f>
        <v>Retargeting</v>
      </c>
      <c r="G240" t="str">
        <f>IF(ISNUMBER(SEARCH("Tier1",Table1[[#This Row],[Campaign_Name]])),"Tier1",IF(ISNUMBER(SEARCH("Tier2",Table1[[#This Row],[Campaign_Name]])),"Tier2","Not Applicable"))</f>
        <v>Not Applicable</v>
      </c>
      <c r="H240" t="s">
        <v>61</v>
      </c>
      <c r="I240" s="3">
        <v>5792.48</v>
      </c>
      <c r="J240" s="7">
        <v>17821</v>
      </c>
      <c r="K240" s="7">
        <v>598</v>
      </c>
      <c r="L240" s="7">
        <v>12</v>
      </c>
      <c r="M240" s="7">
        <v>3</v>
      </c>
      <c r="N240" s="2">
        <v>12168</v>
      </c>
      <c r="O240" s="6">
        <f>Table1[[#This Row],[Clicks]]/Table1[[#This Row],[Impressions]]</f>
        <v>3.3555917176364962E-2</v>
      </c>
      <c r="P240" s="6">
        <f>Table1[[#This Row],[Leads]]/Table1[[#This Row],[Clicks]]</f>
        <v>2.0066889632107024E-2</v>
      </c>
      <c r="Q240" s="6" t="str">
        <f>IF(Table1[[#This Row],[Conversion1]]&gt;=2%,"High","Low")</f>
        <v>High</v>
      </c>
      <c r="R240" s="6">
        <f>IFERROR(Table1[[#This Row],[Orders]]/Table1[[#This Row],[Leads]],0)</f>
        <v>0.25</v>
      </c>
      <c r="S240" s="6" t="str">
        <f>IF(Table1[[#This Row],[Conversion2]]&gt;=15%,"High","Low")</f>
        <v>High</v>
      </c>
      <c r="T240" s="4">
        <f>IFERROR(Table1[[#This Row],[Revenue]]/Table1[[#This Row],[Orders]],0)</f>
        <v>4056</v>
      </c>
      <c r="U240" s="4">
        <f>Table1[[#This Row],[Market_Budget]]/Table1[[#This Row],[Clicks]]</f>
        <v>9.6864214046822728</v>
      </c>
      <c r="V240" s="4">
        <f>IFERROR(Table1[[#This Row],[Market_Budget]]/Table1[[#This Row],[Leads]],0)</f>
        <v>482.70666666666665</v>
      </c>
      <c r="W240" s="4">
        <f>IFERROR(Table1[[#This Row],[Market_Budget]]/Table1[[#This Row],[Orders]],0)</f>
        <v>1930.8266666666666</v>
      </c>
      <c r="X240" s="15">
        <f>(Table1[[#This Row],[Revenue]]-Table1[[#This Row],[Market_Budget]])/Table1[[#This Row],[Market_Budget]]</f>
        <v>1.1006546418805072</v>
      </c>
      <c r="Y240" s="5">
        <f>Table1[[#This Row],[Revenue]]-Table1[[#This Row],[Market_Budget]]</f>
        <v>6375.52</v>
      </c>
    </row>
    <row r="241" spans="1:25" x14ac:dyDescent="0.35">
      <c r="A241">
        <v>544756</v>
      </c>
      <c r="B241" s="1">
        <v>44249</v>
      </c>
      <c r="C241" s="1" t="str">
        <f>TEXT(Table1[[#This Row],[Date]],"dddd")</f>
        <v>Monday</v>
      </c>
      <c r="D241" s="1" t="str">
        <f>IF(WEEKDAY(Table1[[#This Row],[Date]],2)&gt;5,"Weekend","Weekday")</f>
        <v>Weekday</v>
      </c>
      <c r="E241" t="s">
        <v>44</v>
      </c>
      <c r="F241" t="str">
        <f>_xlfn.TEXTAFTER(Table1[[#This Row],[Campaign_Name]],"_")</f>
        <v>Lal</v>
      </c>
      <c r="G241" t="str">
        <f>IF(ISNUMBER(SEARCH("Tier1",Table1[[#This Row],[Campaign_Name]])),"Tier1",IF(ISNUMBER(SEARCH("Tier2",Table1[[#This Row],[Campaign_Name]])),"Tier2","Not Applicable"))</f>
        <v>Not Applicable</v>
      </c>
      <c r="H241" t="s">
        <v>61</v>
      </c>
      <c r="I241" s="3">
        <v>51783.3</v>
      </c>
      <c r="J241" s="7">
        <v>239600</v>
      </c>
      <c r="K241" s="7">
        <v>2396</v>
      </c>
      <c r="L241" s="7">
        <v>48</v>
      </c>
      <c r="M241" s="7">
        <v>6</v>
      </c>
      <c r="N241" s="2">
        <v>5886</v>
      </c>
      <c r="O241" s="6">
        <f>Table1[[#This Row],[Clicks]]/Table1[[#This Row],[Impressions]]</f>
        <v>0.01</v>
      </c>
      <c r="P241" s="6">
        <f>Table1[[#This Row],[Leads]]/Table1[[#This Row],[Clicks]]</f>
        <v>2.003338898163606E-2</v>
      </c>
      <c r="Q241" s="6" t="str">
        <f>IF(Table1[[#This Row],[Conversion1]]&gt;=2%,"High","Low")</f>
        <v>High</v>
      </c>
      <c r="R241" s="6">
        <f>IFERROR(Table1[[#This Row],[Orders]]/Table1[[#This Row],[Leads]],0)</f>
        <v>0.125</v>
      </c>
      <c r="S241" s="6" t="str">
        <f>IF(Table1[[#This Row],[Conversion2]]&gt;=15%,"High","Low")</f>
        <v>Low</v>
      </c>
      <c r="T241" s="4">
        <f>IFERROR(Table1[[#This Row],[Revenue]]/Table1[[#This Row],[Orders]],0)</f>
        <v>981</v>
      </c>
      <c r="U241" s="4">
        <f>Table1[[#This Row],[Market_Budget]]/Table1[[#This Row],[Clicks]]</f>
        <v>21.612395659432387</v>
      </c>
      <c r="V241" s="4">
        <f>IFERROR(Table1[[#This Row],[Market_Budget]]/Table1[[#This Row],[Leads]],0)</f>
        <v>1078.8187500000001</v>
      </c>
      <c r="W241" s="4">
        <f>IFERROR(Table1[[#This Row],[Market_Budget]]/Table1[[#This Row],[Orders]],0)</f>
        <v>8630.5500000000011</v>
      </c>
      <c r="X241" s="15">
        <f>(Table1[[#This Row],[Revenue]]-Table1[[#This Row],[Market_Budget]])/Table1[[#This Row],[Market_Budget]]</f>
        <v>-0.88633401115803745</v>
      </c>
      <c r="Y241" s="5">
        <f>Table1[[#This Row],[Revenue]]-Table1[[#This Row],[Market_Budget]]</f>
        <v>-45897.3</v>
      </c>
    </row>
    <row r="242" spans="1:25" x14ac:dyDescent="0.35">
      <c r="A242">
        <v>374754</v>
      </c>
      <c r="B242" s="1">
        <v>44249</v>
      </c>
      <c r="C242" s="1" t="str">
        <f>TEXT(Table1[[#This Row],[Date]],"dddd")</f>
        <v>Monday</v>
      </c>
      <c r="D242" s="1" t="str">
        <f>IF(WEEKDAY(Table1[[#This Row],[Date]],2)&gt;5,"Weekend","Weekday")</f>
        <v>Weekday</v>
      </c>
      <c r="E242" t="s">
        <v>45</v>
      </c>
      <c r="F242" t="str">
        <f>_xlfn.TEXTAFTER(Table1[[#This Row],[Campaign_Name]],"_")</f>
        <v>Blogger</v>
      </c>
      <c r="G242" t="str">
        <f>IF(ISNUMBER(SEARCH("Tier1",Table1[[#This Row],[Campaign_Name]])),"Tier1",IF(ISNUMBER(SEARCH("Tier2",Table1[[#This Row],[Campaign_Name]])),"Tier2","Not Applicable"))</f>
        <v>Not Applicable</v>
      </c>
      <c r="H242" t="s">
        <v>48</v>
      </c>
      <c r="I242" s="3">
        <v>137382</v>
      </c>
      <c r="J242" s="7">
        <v>599700</v>
      </c>
      <c r="K242" s="7">
        <v>5997</v>
      </c>
      <c r="L242" s="7">
        <v>236</v>
      </c>
      <c r="M242" s="7">
        <v>35</v>
      </c>
      <c r="N242" s="2">
        <v>158340</v>
      </c>
      <c r="O242" s="6">
        <f>Table1[[#This Row],[Clicks]]/Table1[[#This Row],[Impressions]]</f>
        <v>0.01</v>
      </c>
      <c r="P242" s="6">
        <f>Table1[[#This Row],[Leads]]/Table1[[#This Row],[Clicks]]</f>
        <v>3.9353009838252462E-2</v>
      </c>
      <c r="Q242" s="6" t="str">
        <f>IF(Table1[[#This Row],[Conversion1]]&gt;=2%,"High","Low")</f>
        <v>High</v>
      </c>
      <c r="R242" s="6">
        <f>IFERROR(Table1[[#This Row],[Orders]]/Table1[[#This Row],[Leads]],0)</f>
        <v>0.14830508474576271</v>
      </c>
      <c r="S242" s="6" t="str">
        <f>IF(Table1[[#This Row],[Conversion2]]&gt;=15%,"High","Low")</f>
        <v>Low</v>
      </c>
      <c r="T242" s="4">
        <f>IFERROR(Table1[[#This Row],[Revenue]]/Table1[[#This Row],[Orders]],0)</f>
        <v>4524</v>
      </c>
      <c r="U242" s="4">
        <f>Table1[[#This Row],[Market_Budget]]/Table1[[#This Row],[Clicks]]</f>
        <v>22.908454227113555</v>
      </c>
      <c r="V242" s="4">
        <f>IFERROR(Table1[[#This Row],[Market_Budget]]/Table1[[#This Row],[Leads]],0)</f>
        <v>582.12711864406776</v>
      </c>
      <c r="W242" s="4">
        <f>IFERROR(Table1[[#This Row],[Market_Budget]]/Table1[[#This Row],[Orders]],0)</f>
        <v>3925.2</v>
      </c>
      <c r="X242" s="15">
        <f>(Table1[[#This Row],[Revenue]]-Table1[[#This Row],[Market_Budget]])/Table1[[#This Row],[Market_Budget]]</f>
        <v>0.15255273616630999</v>
      </c>
      <c r="Y242" s="5">
        <f>Table1[[#This Row],[Revenue]]-Table1[[#This Row],[Market_Budget]]</f>
        <v>20958</v>
      </c>
    </row>
    <row r="243" spans="1:25" x14ac:dyDescent="0.35">
      <c r="A243">
        <v>39889</v>
      </c>
      <c r="B243" s="1">
        <v>44249</v>
      </c>
      <c r="C243" s="1" t="str">
        <f>TEXT(Table1[[#This Row],[Date]],"dddd")</f>
        <v>Monday</v>
      </c>
      <c r="D243" s="1" t="str">
        <f>IF(WEEKDAY(Table1[[#This Row],[Date]],2)&gt;5,"Weekend","Weekday")</f>
        <v>Weekday</v>
      </c>
      <c r="E243" t="s">
        <v>46</v>
      </c>
      <c r="F243" t="str">
        <f>_xlfn.TEXTAFTER(Table1[[#This Row],[Campaign_Name]],"_")</f>
        <v>Partner</v>
      </c>
      <c r="G243" t="str">
        <f>IF(ISNUMBER(SEARCH("Tier1",Table1[[#This Row],[Campaign_Name]])),"Tier1",IF(ISNUMBER(SEARCH("Tier2",Table1[[#This Row],[Campaign_Name]])),"Tier2","Not Applicable"))</f>
        <v>Not Applicable</v>
      </c>
      <c r="H243" t="s">
        <v>62</v>
      </c>
      <c r="I243" s="3">
        <v>60021.599999999999</v>
      </c>
      <c r="J243" s="7">
        <v>105873774</v>
      </c>
      <c r="K243" s="7">
        <v>8409</v>
      </c>
      <c r="L243" s="7">
        <v>168</v>
      </c>
      <c r="M243" s="7">
        <v>20</v>
      </c>
      <c r="N243" s="2">
        <v>80600</v>
      </c>
      <c r="O243" s="6">
        <f>Table1[[#This Row],[Clicks]]/Table1[[#This Row],[Impressions]]</f>
        <v>7.9424768592833953E-5</v>
      </c>
      <c r="P243" s="6">
        <f>Table1[[#This Row],[Leads]]/Table1[[#This Row],[Clicks]]</f>
        <v>1.9978594363182306E-2</v>
      </c>
      <c r="Q243" s="6" t="str">
        <f>IF(Table1[[#This Row],[Conversion1]]&gt;=2%,"High","Low")</f>
        <v>Low</v>
      </c>
      <c r="R243" s="6">
        <f>IFERROR(Table1[[#This Row],[Orders]]/Table1[[#This Row],[Leads]],0)</f>
        <v>0.11904761904761904</v>
      </c>
      <c r="S243" s="6" t="str">
        <f>IF(Table1[[#This Row],[Conversion2]]&gt;=15%,"High","Low")</f>
        <v>Low</v>
      </c>
      <c r="T243" s="4">
        <f>IFERROR(Table1[[#This Row],[Revenue]]/Table1[[#This Row],[Orders]],0)</f>
        <v>4030</v>
      </c>
      <c r="U243" s="4">
        <f>Table1[[#This Row],[Market_Budget]]/Table1[[#This Row],[Clicks]]</f>
        <v>7.1377809489832318</v>
      </c>
      <c r="V243" s="4">
        <f>IFERROR(Table1[[#This Row],[Market_Budget]]/Table1[[#This Row],[Leads]],0)</f>
        <v>357.27142857142854</v>
      </c>
      <c r="W243" s="4">
        <f>IFERROR(Table1[[#This Row],[Market_Budget]]/Table1[[#This Row],[Orders]],0)</f>
        <v>3001.08</v>
      </c>
      <c r="X243" s="15">
        <f>(Table1[[#This Row],[Revenue]]-Table1[[#This Row],[Market_Budget]])/Table1[[#This Row],[Market_Budget]]</f>
        <v>0.34284990736668136</v>
      </c>
      <c r="Y243" s="5">
        <f>Table1[[#This Row],[Revenue]]-Table1[[#This Row],[Market_Budget]]</f>
        <v>20578.400000000001</v>
      </c>
    </row>
    <row r="244" spans="1:25" x14ac:dyDescent="0.35">
      <c r="A244">
        <v>349043</v>
      </c>
      <c r="B244" s="1">
        <v>44250</v>
      </c>
      <c r="C244" s="1" t="str">
        <f>TEXT(Table1[[#This Row],[Date]],"dddd")</f>
        <v>Tuesday</v>
      </c>
      <c r="D244" s="1" t="str">
        <f>IF(WEEKDAY(Table1[[#This Row],[Date]],2)&gt;5,"Weekend","Weekday")</f>
        <v>Weekday</v>
      </c>
      <c r="E244" t="s">
        <v>36</v>
      </c>
      <c r="F244" t="str">
        <f>_xlfn.TEXTAFTER(Table1[[#This Row],[Campaign_Name]],"_")</f>
        <v>Tier1</v>
      </c>
      <c r="G244" t="str">
        <f>IF(ISNUMBER(SEARCH("Tier1",Table1[[#This Row],[Campaign_Name]])),"Tier1",IF(ISNUMBER(SEARCH("Tier2",Table1[[#This Row],[Campaign_Name]])),"Tier2","Not Applicable"))</f>
        <v>Tier1</v>
      </c>
      <c r="H244" t="s">
        <v>61</v>
      </c>
      <c r="I244" s="3">
        <v>9858.2800000000007</v>
      </c>
      <c r="J244" s="7">
        <v>924525</v>
      </c>
      <c r="K244" s="7">
        <v>1203</v>
      </c>
      <c r="L244" s="7">
        <v>28</v>
      </c>
      <c r="M244" s="7">
        <v>2</v>
      </c>
      <c r="N244" s="2">
        <v>9962</v>
      </c>
      <c r="O244" s="6">
        <f>Table1[[#This Row],[Clicks]]/Table1[[#This Row],[Impressions]]</f>
        <v>1.3012087288066846E-3</v>
      </c>
      <c r="P244" s="6">
        <f>Table1[[#This Row],[Leads]]/Table1[[#This Row],[Clicks]]</f>
        <v>2.3275145469659187E-2</v>
      </c>
      <c r="Q244" s="6" t="str">
        <f>IF(Table1[[#This Row],[Conversion1]]&gt;=2%,"High","Low")</f>
        <v>High</v>
      </c>
      <c r="R244" s="6">
        <f>IFERROR(Table1[[#This Row],[Orders]]/Table1[[#This Row],[Leads]],0)</f>
        <v>7.1428571428571425E-2</v>
      </c>
      <c r="S244" s="6" t="str">
        <f>IF(Table1[[#This Row],[Conversion2]]&gt;=15%,"High","Low")</f>
        <v>Low</v>
      </c>
      <c r="T244" s="4">
        <f>IFERROR(Table1[[#This Row],[Revenue]]/Table1[[#This Row],[Orders]],0)</f>
        <v>4981</v>
      </c>
      <c r="U244" s="4">
        <f>Table1[[#This Row],[Market_Budget]]/Table1[[#This Row],[Clicks]]</f>
        <v>8.1947464671654195</v>
      </c>
      <c r="V244" s="4">
        <f>IFERROR(Table1[[#This Row],[Market_Budget]]/Table1[[#This Row],[Leads]],0)</f>
        <v>352.0814285714286</v>
      </c>
      <c r="W244" s="4">
        <f>IFERROR(Table1[[#This Row],[Market_Budget]]/Table1[[#This Row],[Orders]],0)</f>
        <v>4929.1400000000003</v>
      </c>
      <c r="X244" s="15">
        <f>(Table1[[#This Row],[Revenue]]-Table1[[#This Row],[Market_Budget]])/Table1[[#This Row],[Market_Budget]]</f>
        <v>1.0521105101498368E-2</v>
      </c>
      <c r="Y244" s="5">
        <f>Table1[[#This Row],[Revenue]]-Table1[[#This Row],[Market_Budget]]</f>
        <v>103.71999999999935</v>
      </c>
    </row>
    <row r="245" spans="1:25" x14ac:dyDescent="0.35">
      <c r="A245">
        <v>348934</v>
      </c>
      <c r="B245" s="1">
        <v>44250</v>
      </c>
      <c r="C245" s="1" t="str">
        <f>TEXT(Table1[[#This Row],[Date]],"dddd")</f>
        <v>Tuesday</v>
      </c>
      <c r="D245" s="1" t="str">
        <f>IF(WEEKDAY(Table1[[#This Row],[Date]],2)&gt;5,"Weekend","Weekday")</f>
        <v>Weekday</v>
      </c>
      <c r="E245" t="s">
        <v>37</v>
      </c>
      <c r="F245" t="str">
        <f>_xlfn.TEXTAFTER(Table1[[#This Row],[Campaign_Name]],"_")</f>
        <v>Tier2</v>
      </c>
      <c r="G245" t="str">
        <f>IF(ISNUMBER(SEARCH("Tier1",Table1[[#This Row],[Campaign_Name]])),"Tier1",IF(ISNUMBER(SEARCH("Tier2",Table1[[#This Row],[Campaign_Name]])),"Tier2","Not Applicable"))</f>
        <v>Tier2</v>
      </c>
      <c r="H245" t="s">
        <v>61</v>
      </c>
      <c r="I245" s="3">
        <v>19350</v>
      </c>
      <c r="J245" s="7">
        <v>475992</v>
      </c>
      <c r="K245" s="7">
        <v>1641</v>
      </c>
      <c r="L245" s="7">
        <v>37</v>
      </c>
      <c r="M245" s="7">
        <v>3</v>
      </c>
      <c r="N245" s="2">
        <v>12225</v>
      </c>
      <c r="O245" s="6">
        <f>Table1[[#This Row],[Clicks]]/Table1[[#This Row],[Impressions]]</f>
        <v>3.4475369333938385E-3</v>
      </c>
      <c r="P245" s="6">
        <f>Table1[[#This Row],[Leads]]/Table1[[#This Row],[Clicks]]</f>
        <v>2.2547227300426569E-2</v>
      </c>
      <c r="Q245" s="6" t="str">
        <f>IF(Table1[[#This Row],[Conversion1]]&gt;=2%,"High","Low")</f>
        <v>High</v>
      </c>
      <c r="R245" s="6">
        <f>IFERROR(Table1[[#This Row],[Orders]]/Table1[[#This Row],[Leads]],0)</f>
        <v>8.1081081081081086E-2</v>
      </c>
      <c r="S245" s="6" t="str">
        <f>IF(Table1[[#This Row],[Conversion2]]&gt;=15%,"High","Low")</f>
        <v>Low</v>
      </c>
      <c r="T245" s="4">
        <f>IFERROR(Table1[[#This Row],[Revenue]]/Table1[[#This Row],[Orders]],0)</f>
        <v>4075</v>
      </c>
      <c r="U245" s="4">
        <f>Table1[[#This Row],[Market_Budget]]/Table1[[#This Row],[Clicks]]</f>
        <v>11.791590493601463</v>
      </c>
      <c r="V245" s="4">
        <f>IFERROR(Table1[[#This Row],[Market_Budget]]/Table1[[#This Row],[Leads]],0)</f>
        <v>522.97297297297303</v>
      </c>
      <c r="W245" s="4">
        <f>IFERROR(Table1[[#This Row],[Market_Budget]]/Table1[[#This Row],[Orders]],0)</f>
        <v>6450</v>
      </c>
      <c r="X245" s="15">
        <f>(Table1[[#This Row],[Revenue]]-Table1[[#This Row],[Market_Budget]])/Table1[[#This Row],[Market_Budget]]</f>
        <v>-0.36821705426356588</v>
      </c>
      <c r="Y245" s="5">
        <f>Table1[[#This Row],[Revenue]]-Table1[[#This Row],[Market_Budget]]</f>
        <v>-7125</v>
      </c>
    </row>
    <row r="246" spans="1:25" x14ac:dyDescent="0.35">
      <c r="A246">
        <v>89459845</v>
      </c>
      <c r="B246" s="1">
        <v>44250</v>
      </c>
      <c r="C246" s="1" t="str">
        <f>TEXT(Table1[[#This Row],[Date]],"dddd")</f>
        <v>Tuesday</v>
      </c>
      <c r="D246" s="1" t="str">
        <f>IF(WEEKDAY(Table1[[#This Row],[Date]],2)&gt;5,"Weekend","Weekday")</f>
        <v>Weekday</v>
      </c>
      <c r="E246" t="s">
        <v>38</v>
      </c>
      <c r="F246" t="str">
        <f>_xlfn.TEXTAFTER(Table1[[#This Row],[Campaign_Name]],"_")</f>
        <v>Hot</v>
      </c>
      <c r="G246" t="str">
        <f>IF(ISNUMBER(SEARCH("Tier1",Table1[[#This Row],[Campaign_Name]])),"Tier1",IF(ISNUMBER(SEARCH("Tier2",Table1[[#This Row],[Campaign_Name]])),"Tier2","Not Applicable"))</f>
        <v>Not Applicable</v>
      </c>
      <c r="H246" t="s">
        <v>47</v>
      </c>
      <c r="I246" s="3">
        <v>5409.21</v>
      </c>
      <c r="J246" s="7">
        <v>22175</v>
      </c>
      <c r="K246" s="7">
        <v>442</v>
      </c>
      <c r="L246" s="7">
        <v>9</v>
      </c>
      <c r="M246" s="7">
        <v>2</v>
      </c>
      <c r="N246" s="2">
        <v>15050</v>
      </c>
      <c r="O246" s="6">
        <f>Table1[[#This Row],[Clicks]]/Table1[[#This Row],[Impressions]]</f>
        <v>1.9932356257046223E-2</v>
      </c>
      <c r="P246" s="6">
        <f>Table1[[#This Row],[Leads]]/Table1[[#This Row],[Clicks]]</f>
        <v>2.0361990950226245E-2</v>
      </c>
      <c r="Q246" s="6" t="str">
        <f>IF(Table1[[#This Row],[Conversion1]]&gt;=2%,"High","Low")</f>
        <v>High</v>
      </c>
      <c r="R246" s="6">
        <f>IFERROR(Table1[[#This Row],[Orders]]/Table1[[#This Row],[Leads]],0)</f>
        <v>0.22222222222222221</v>
      </c>
      <c r="S246" s="6" t="str">
        <f>IF(Table1[[#This Row],[Conversion2]]&gt;=15%,"High","Low")</f>
        <v>High</v>
      </c>
      <c r="T246" s="4">
        <f>IFERROR(Table1[[#This Row],[Revenue]]/Table1[[#This Row],[Orders]],0)</f>
        <v>7525</v>
      </c>
      <c r="U246" s="4">
        <f>Table1[[#This Row],[Market_Budget]]/Table1[[#This Row],[Clicks]]</f>
        <v>12.238031674208145</v>
      </c>
      <c r="V246" s="4">
        <f>IFERROR(Table1[[#This Row],[Market_Budget]]/Table1[[#This Row],[Leads]],0)</f>
        <v>601.02333333333331</v>
      </c>
      <c r="W246" s="4">
        <f>IFERROR(Table1[[#This Row],[Market_Budget]]/Table1[[#This Row],[Orders]],0)</f>
        <v>2704.605</v>
      </c>
      <c r="X246" s="15">
        <f>(Table1[[#This Row],[Revenue]]-Table1[[#This Row],[Market_Budget]])/Table1[[#This Row],[Market_Budget]]</f>
        <v>1.7822916839982179</v>
      </c>
      <c r="Y246" s="5">
        <f>Table1[[#This Row],[Revenue]]-Table1[[#This Row],[Market_Budget]]</f>
        <v>9640.7900000000009</v>
      </c>
    </row>
    <row r="247" spans="1:25" x14ac:dyDescent="0.35">
      <c r="A247">
        <v>127823</v>
      </c>
      <c r="B247" s="1">
        <v>44250</v>
      </c>
      <c r="C247" s="1" t="str">
        <f>TEXT(Table1[[#This Row],[Date]],"dddd")</f>
        <v>Tuesday</v>
      </c>
      <c r="D247" s="1" t="str">
        <f>IF(WEEKDAY(Table1[[#This Row],[Date]],2)&gt;5,"Weekend","Weekday")</f>
        <v>Weekday</v>
      </c>
      <c r="E247" t="s">
        <v>39</v>
      </c>
      <c r="F247" t="str">
        <f>_xlfn.TEXTAFTER(Table1[[#This Row],[Campaign_Name]],"_")</f>
        <v>Wide</v>
      </c>
      <c r="G247" t="str">
        <f>IF(ISNUMBER(SEARCH("Tier1",Table1[[#This Row],[Campaign_Name]])),"Tier1",IF(ISNUMBER(SEARCH("Tier2",Table1[[#This Row],[Campaign_Name]])),"Tier2","Not Applicable"))</f>
        <v>Not Applicable</v>
      </c>
      <c r="H247" t="s">
        <v>47</v>
      </c>
      <c r="I247" s="3">
        <v>12581.6</v>
      </c>
      <c r="J247" s="7">
        <v>241000</v>
      </c>
      <c r="K247" s="7">
        <v>1205</v>
      </c>
      <c r="L247" s="7">
        <v>24</v>
      </c>
      <c r="M247" s="7">
        <v>3</v>
      </c>
      <c r="N247" s="2">
        <v>8943</v>
      </c>
      <c r="O247" s="6">
        <f>Table1[[#This Row],[Clicks]]/Table1[[#This Row],[Impressions]]</f>
        <v>5.0000000000000001E-3</v>
      </c>
      <c r="P247" s="6">
        <f>Table1[[#This Row],[Leads]]/Table1[[#This Row],[Clicks]]</f>
        <v>1.9917012448132779E-2</v>
      </c>
      <c r="Q247" s="6" t="str">
        <f>IF(Table1[[#This Row],[Conversion1]]&gt;=2%,"High","Low")</f>
        <v>Low</v>
      </c>
      <c r="R247" s="6">
        <f>IFERROR(Table1[[#This Row],[Orders]]/Table1[[#This Row],[Leads]],0)</f>
        <v>0.125</v>
      </c>
      <c r="S247" s="6" t="str">
        <f>IF(Table1[[#This Row],[Conversion2]]&gt;=15%,"High","Low")</f>
        <v>Low</v>
      </c>
      <c r="T247" s="4">
        <f>IFERROR(Table1[[#This Row],[Revenue]]/Table1[[#This Row],[Orders]],0)</f>
        <v>2981</v>
      </c>
      <c r="U247" s="4">
        <f>Table1[[#This Row],[Market_Budget]]/Table1[[#This Row],[Clicks]]</f>
        <v>10.441161825726141</v>
      </c>
      <c r="V247" s="4">
        <f>IFERROR(Table1[[#This Row],[Market_Budget]]/Table1[[#This Row],[Leads]],0)</f>
        <v>524.23333333333335</v>
      </c>
      <c r="W247" s="4">
        <f>IFERROR(Table1[[#This Row],[Market_Budget]]/Table1[[#This Row],[Orders]],0)</f>
        <v>4193.8666666666668</v>
      </c>
      <c r="X247" s="15">
        <f>(Table1[[#This Row],[Revenue]]-Table1[[#This Row],[Market_Budget]])/Table1[[#This Row],[Market_Budget]]</f>
        <v>-0.2892001017358683</v>
      </c>
      <c r="Y247" s="5">
        <f>Table1[[#This Row],[Revenue]]-Table1[[#This Row],[Market_Budget]]</f>
        <v>-3638.6000000000004</v>
      </c>
    </row>
    <row r="248" spans="1:25" x14ac:dyDescent="0.35">
      <c r="A248">
        <v>10934</v>
      </c>
      <c r="B248" s="1">
        <v>44250</v>
      </c>
      <c r="C248" s="1" t="str">
        <f>TEXT(Table1[[#This Row],[Date]],"dddd")</f>
        <v>Tuesday</v>
      </c>
      <c r="D248" s="1" t="str">
        <f>IF(WEEKDAY(Table1[[#This Row],[Date]],2)&gt;5,"Weekend","Weekday")</f>
        <v>Weekday</v>
      </c>
      <c r="E248" t="s">
        <v>40</v>
      </c>
      <c r="F248" t="str">
        <f>_xlfn.TEXTAFTER(Table1[[#This Row],[Campaign_Name]],"_")</f>
        <v>Blogger</v>
      </c>
      <c r="G248" t="str">
        <f>IF(ISNUMBER(SEARCH("Tier1",Table1[[#This Row],[Campaign_Name]])),"Tier1",IF(ISNUMBER(SEARCH("Tier2",Table1[[#This Row],[Campaign_Name]])),"Tier2","Not Applicable"))</f>
        <v>Not Applicable</v>
      </c>
      <c r="H248" t="s">
        <v>48</v>
      </c>
      <c r="I248" s="3">
        <v>16343</v>
      </c>
      <c r="J248" s="7">
        <v>297609</v>
      </c>
      <c r="K248" s="7">
        <v>2246</v>
      </c>
      <c r="L248" s="7">
        <v>45</v>
      </c>
      <c r="M248" s="7">
        <v>8</v>
      </c>
      <c r="N248" s="2">
        <v>63848</v>
      </c>
      <c r="O248" s="6">
        <f>Table1[[#This Row],[Clicks]]/Table1[[#This Row],[Impressions]]</f>
        <v>7.5468147804669886E-3</v>
      </c>
      <c r="P248" s="6">
        <f>Table1[[#This Row],[Leads]]/Table1[[#This Row],[Clicks]]</f>
        <v>2.0035618878005344E-2</v>
      </c>
      <c r="Q248" s="6" t="str">
        <f>IF(Table1[[#This Row],[Conversion1]]&gt;=2%,"High","Low")</f>
        <v>High</v>
      </c>
      <c r="R248" s="6">
        <f>IFERROR(Table1[[#This Row],[Orders]]/Table1[[#This Row],[Leads]],0)</f>
        <v>0.17777777777777778</v>
      </c>
      <c r="S248" s="6" t="str">
        <f>IF(Table1[[#This Row],[Conversion2]]&gt;=15%,"High","Low")</f>
        <v>High</v>
      </c>
      <c r="T248" s="4">
        <f>IFERROR(Table1[[#This Row],[Revenue]]/Table1[[#This Row],[Orders]],0)</f>
        <v>7981</v>
      </c>
      <c r="U248" s="4">
        <f>Table1[[#This Row],[Market_Budget]]/Table1[[#This Row],[Clicks]]</f>
        <v>7.2764915405164734</v>
      </c>
      <c r="V248" s="4">
        <f>IFERROR(Table1[[#This Row],[Market_Budget]]/Table1[[#This Row],[Leads]],0)</f>
        <v>363.17777777777781</v>
      </c>
      <c r="W248" s="4">
        <f>IFERROR(Table1[[#This Row],[Market_Budget]]/Table1[[#This Row],[Orders]],0)</f>
        <v>2042.875</v>
      </c>
      <c r="X248" s="15">
        <f>(Table1[[#This Row],[Revenue]]-Table1[[#This Row],[Market_Budget]])/Table1[[#This Row],[Market_Budget]]</f>
        <v>2.9067490668787861</v>
      </c>
      <c r="Y248" s="5">
        <f>Table1[[#This Row],[Revenue]]-Table1[[#This Row],[Market_Budget]]</f>
        <v>47505</v>
      </c>
    </row>
    <row r="249" spans="1:25" x14ac:dyDescent="0.35">
      <c r="A249">
        <v>9034945</v>
      </c>
      <c r="B249" s="1">
        <v>44250</v>
      </c>
      <c r="C249" s="1" t="str">
        <f>TEXT(Table1[[#This Row],[Date]],"dddd")</f>
        <v>Tuesday</v>
      </c>
      <c r="D249" s="1" t="str">
        <f>IF(WEEKDAY(Table1[[#This Row],[Date]],2)&gt;5,"Weekend","Weekday")</f>
        <v>Weekday</v>
      </c>
      <c r="E249" t="s">
        <v>41</v>
      </c>
      <c r="F249" t="str">
        <f>_xlfn.TEXTAFTER(Table1[[#This Row],[Campaign_Name]],"_")</f>
        <v>Tier1</v>
      </c>
      <c r="G249" t="str">
        <f>IF(ISNUMBER(SEARCH("Tier1",Table1[[#This Row],[Campaign_Name]])),"Tier1",IF(ISNUMBER(SEARCH("Tier2",Table1[[#This Row],[Campaign_Name]])),"Tier2","Not Applicable"))</f>
        <v>Tier1</v>
      </c>
      <c r="H249" t="s">
        <v>61</v>
      </c>
      <c r="I249" s="3">
        <v>557.25</v>
      </c>
      <c r="J249" s="7">
        <v>536236</v>
      </c>
      <c r="K249" s="7">
        <v>1349</v>
      </c>
      <c r="L249" s="7">
        <v>1</v>
      </c>
      <c r="M249" s="7">
        <v>0</v>
      </c>
      <c r="N249" s="2">
        <v>0</v>
      </c>
      <c r="O249" s="6">
        <f>Table1[[#This Row],[Clicks]]/Table1[[#This Row],[Impressions]]</f>
        <v>2.5156833931328742E-3</v>
      </c>
      <c r="P249" s="6">
        <f>Table1[[#This Row],[Leads]]/Table1[[#This Row],[Clicks]]</f>
        <v>7.4128984432913266E-4</v>
      </c>
      <c r="Q249" s="6" t="str">
        <f>IF(Table1[[#This Row],[Conversion1]]&gt;=2%,"High","Low")</f>
        <v>Low</v>
      </c>
      <c r="R249" s="6">
        <f>IFERROR(Table1[[#This Row],[Orders]]/Table1[[#This Row],[Leads]],0)</f>
        <v>0</v>
      </c>
      <c r="S249" s="6" t="str">
        <f>IF(Table1[[#This Row],[Conversion2]]&gt;=15%,"High","Low")</f>
        <v>Low</v>
      </c>
      <c r="T249" s="4">
        <f>IFERROR(Table1[[#This Row],[Revenue]]/Table1[[#This Row],[Orders]],0)</f>
        <v>0</v>
      </c>
      <c r="U249" s="4">
        <f>Table1[[#This Row],[Market_Budget]]/Table1[[#This Row],[Clicks]]</f>
        <v>0.41308376575240918</v>
      </c>
      <c r="V249" s="4">
        <f>IFERROR(Table1[[#This Row],[Market_Budget]]/Table1[[#This Row],[Leads]],0)</f>
        <v>557.25</v>
      </c>
      <c r="W249" s="4">
        <f>IFERROR(Table1[[#This Row],[Market_Budget]]/Table1[[#This Row],[Orders]],0)</f>
        <v>0</v>
      </c>
      <c r="X249" s="15">
        <f>(Table1[[#This Row],[Revenue]]-Table1[[#This Row],[Market_Budget]])/Table1[[#This Row],[Market_Budget]]</f>
        <v>-1</v>
      </c>
      <c r="Y249" s="5">
        <f>Table1[[#This Row],[Revenue]]-Table1[[#This Row],[Market_Budget]]</f>
        <v>-557.25</v>
      </c>
    </row>
    <row r="250" spans="1:25" x14ac:dyDescent="0.35">
      <c r="A250">
        <v>983498</v>
      </c>
      <c r="B250" s="1">
        <v>44250</v>
      </c>
      <c r="C250" s="1" t="str">
        <f>TEXT(Table1[[#This Row],[Date]],"dddd")</f>
        <v>Tuesday</v>
      </c>
      <c r="D250" s="1" t="str">
        <f>IF(WEEKDAY(Table1[[#This Row],[Date]],2)&gt;5,"Weekend","Weekday")</f>
        <v>Weekday</v>
      </c>
      <c r="E250" t="s">
        <v>42</v>
      </c>
      <c r="F250" t="str">
        <f>_xlfn.TEXTAFTER(Table1[[#This Row],[Campaign_Name]],"_")</f>
        <v>Tier2</v>
      </c>
      <c r="G250" t="str">
        <f>IF(ISNUMBER(SEARCH("Tier1",Table1[[#This Row],[Campaign_Name]])),"Tier1",IF(ISNUMBER(SEARCH("Tier2",Table1[[#This Row],[Campaign_Name]])),"Tier2","Not Applicable"))</f>
        <v>Tier2</v>
      </c>
      <c r="H250" t="s">
        <v>61</v>
      </c>
      <c r="I250" s="3">
        <v>4285.4399999999996</v>
      </c>
      <c r="J250" s="7">
        <v>512000</v>
      </c>
      <c r="K250" s="7">
        <v>2560</v>
      </c>
      <c r="L250" s="7">
        <v>51</v>
      </c>
      <c r="M250" s="7">
        <v>2</v>
      </c>
      <c r="N250" s="2">
        <v>2934</v>
      </c>
      <c r="O250" s="6">
        <f>Table1[[#This Row],[Clicks]]/Table1[[#This Row],[Impressions]]</f>
        <v>5.0000000000000001E-3</v>
      </c>
      <c r="P250" s="6">
        <f>Table1[[#This Row],[Leads]]/Table1[[#This Row],[Clicks]]</f>
        <v>1.9921874999999999E-2</v>
      </c>
      <c r="Q250" s="6" t="str">
        <f>IF(Table1[[#This Row],[Conversion1]]&gt;=2%,"High","Low")</f>
        <v>Low</v>
      </c>
      <c r="R250" s="6">
        <f>IFERROR(Table1[[#This Row],[Orders]]/Table1[[#This Row],[Leads]],0)</f>
        <v>3.9215686274509803E-2</v>
      </c>
      <c r="S250" s="6" t="str">
        <f>IF(Table1[[#This Row],[Conversion2]]&gt;=15%,"High","Low")</f>
        <v>Low</v>
      </c>
      <c r="T250" s="4">
        <f>IFERROR(Table1[[#This Row],[Revenue]]/Table1[[#This Row],[Orders]],0)</f>
        <v>1467</v>
      </c>
      <c r="U250" s="4">
        <f>Table1[[#This Row],[Market_Budget]]/Table1[[#This Row],[Clicks]]</f>
        <v>1.6739999999999999</v>
      </c>
      <c r="V250" s="4">
        <f>IFERROR(Table1[[#This Row],[Market_Budget]]/Table1[[#This Row],[Leads]],0)</f>
        <v>84.028235294117636</v>
      </c>
      <c r="W250" s="4">
        <f>IFERROR(Table1[[#This Row],[Market_Budget]]/Table1[[#This Row],[Orders]],0)</f>
        <v>2142.7199999999998</v>
      </c>
      <c r="X250" s="15">
        <f>(Table1[[#This Row],[Revenue]]-Table1[[#This Row],[Market_Budget]])/Table1[[#This Row],[Market_Budget]]</f>
        <v>-0.31535618279569888</v>
      </c>
      <c r="Y250" s="5">
        <f>Table1[[#This Row],[Revenue]]-Table1[[#This Row],[Market_Budget]]</f>
        <v>-1351.4399999999996</v>
      </c>
    </row>
    <row r="251" spans="1:25" x14ac:dyDescent="0.35">
      <c r="A251">
        <v>4387490</v>
      </c>
      <c r="B251" s="1">
        <v>44250</v>
      </c>
      <c r="C251" s="1" t="str">
        <f>TEXT(Table1[[#This Row],[Date]],"dddd")</f>
        <v>Tuesday</v>
      </c>
      <c r="D251" s="1" t="str">
        <f>IF(WEEKDAY(Table1[[#This Row],[Date]],2)&gt;5,"Weekend","Weekday")</f>
        <v>Weekday</v>
      </c>
      <c r="E251" t="s">
        <v>43</v>
      </c>
      <c r="F251" t="str">
        <f>_xlfn.TEXTAFTER(Table1[[#This Row],[Campaign_Name]],"_")</f>
        <v>Retargeting</v>
      </c>
      <c r="G251" t="str">
        <f>IF(ISNUMBER(SEARCH("Tier1",Table1[[#This Row],[Campaign_Name]])),"Tier1",IF(ISNUMBER(SEARCH("Tier2",Table1[[#This Row],[Campaign_Name]])),"Tier2","Not Applicable"))</f>
        <v>Not Applicable</v>
      </c>
      <c r="H251" t="s">
        <v>61</v>
      </c>
      <c r="I251" s="3">
        <v>1238.0899999999999</v>
      </c>
      <c r="J251" s="7">
        <v>4908</v>
      </c>
      <c r="K251" s="7">
        <v>155</v>
      </c>
      <c r="L251" s="7">
        <v>3</v>
      </c>
      <c r="M251" s="7">
        <v>1</v>
      </c>
      <c r="N251" s="2">
        <v>5265</v>
      </c>
      <c r="O251" s="6">
        <f>Table1[[#This Row],[Clicks]]/Table1[[#This Row],[Impressions]]</f>
        <v>3.1581092094539527E-2</v>
      </c>
      <c r="P251" s="6">
        <f>Table1[[#This Row],[Leads]]/Table1[[#This Row],[Clicks]]</f>
        <v>1.935483870967742E-2</v>
      </c>
      <c r="Q251" s="6" t="str">
        <f>IF(Table1[[#This Row],[Conversion1]]&gt;=2%,"High","Low")</f>
        <v>Low</v>
      </c>
      <c r="R251" s="6">
        <f>IFERROR(Table1[[#This Row],[Orders]]/Table1[[#This Row],[Leads]],0)</f>
        <v>0.33333333333333331</v>
      </c>
      <c r="S251" s="6" t="str">
        <f>IF(Table1[[#This Row],[Conversion2]]&gt;=15%,"High","Low")</f>
        <v>High</v>
      </c>
      <c r="T251" s="4">
        <f>IFERROR(Table1[[#This Row],[Revenue]]/Table1[[#This Row],[Orders]],0)</f>
        <v>5265</v>
      </c>
      <c r="U251" s="4">
        <f>Table1[[#This Row],[Market_Budget]]/Table1[[#This Row],[Clicks]]</f>
        <v>7.9876774193548385</v>
      </c>
      <c r="V251" s="4">
        <f>IFERROR(Table1[[#This Row],[Market_Budget]]/Table1[[#This Row],[Leads]],0)</f>
        <v>412.69666666666666</v>
      </c>
      <c r="W251" s="4">
        <f>IFERROR(Table1[[#This Row],[Market_Budget]]/Table1[[#This Row],[Orders]],0)</f>
        <v>1238.0899999999999</v>
      </c>
      <c r="X251" s="15">
        <f>(Table1[[#This Row],[Revenue]]-Table1[[#This Row],[Market_Budget]])/Table1[[#This Row],[Market_Budget]]</f>
        <v>3.2525179914222715</v>
      </c>
      <c r="Y251" s="5">
        <f>Table1[[#This Row],[Revenue]]-Table1[[#This Row],[Market_Budget]]</f>
        <v>4026.91</v>
      </c>
    </row>
    <row r="252" spans="1:25" x14ac:dyDescent="0.35">
      <c r="A252">
        <v>544756</v>
      </c>
      <c r="B252" s="1">
        <v>44250</v>
      </c>
      <c r="C252" s="1" t="str">
        <f>TEXT(Table1[[#This Row],[Date]],"dddd")</f>
        <v>Tuesday</v>
      </c>
      <c r="D252" s="1" t="str">
        <f>IF(WEEKDAY(Table1[[#This Row],[Date]],2)&gt;5,"Weekend","Weekday")</f>
        <v>Weekday</v>
      </c>
      <c r="E252" t="s">
        <v>44</v>
      </c>
      <c r="F252" t="str">
        <f>_xlfn.TEXTAFTER(Table1[[#This Row],[Campaign_Name]],"_")</f>
        <v>Lal</v>
      </c>
      <c r="G252" t="str">
        <f>IF(ISNUMBER(SEARCH("Tier1",Table1[[#This Row],[Campaign_Name]])),"Tier1",IF(ISNUMBER(SEARCH("Tier2",Table1[[#This Row],[Campaign_Name]])),"Tier2","Not Applicable"))</f>
        <v>Not Applicable</v>
      </c>
      <c r="H252" t="s">
        <v>61</v>
      </c>
      <c r="I252" s="3">
        <v>16078.6</v>
      </c>
      <c r="J252" s="7">
        <v>60800</v>
      </c>
      <c r="K252" s="7">
        <v>608</v>
      </c>
      <c r="L252" s="7">
        <v>12</v>
      </c>
      <c r="M252" s="7">
        <v>2</v>
      </c>
      <c r="N252" s="2">
        <v>2720</v>
      </c>
      <c r="O252" s="6">
        <f>Table1[[#This Row],[Clicks]]/Table1[[#This Row],[Impressions]]</f>
        <v>0.01</v>
      </c>
      <c r="P252" s="6">
        <f>Table1[[#This Row],[Leads]]/Table1[[#This Row],[Clicks]]</f>
        <v>1.9736842105263157E-2</v>
      </c>
      <c r="Q252" s="6" t="str">
        <f>IF(Table1[[#This Row],[Conversion1]]&gt;=2%,"High","Low")</f>
        <v>Low</v>
      </c>
      <c r="R252" s="6">
        <f>IFERROR(Table1[[#This Row],[Orders]]/Table1[[#This Row],[Leads]],0)</f>
        <v>0.16666666666666666</v>
      </c>
      <c r="S252" s="6" t="str">
        <f>IF(Table1[[#This Row],[Conversion2]]&gt;=15%,"High","Low")</f>
        <v>High</v>
      </c>
      <c r="T252" s="4">
        <f>IFERROR(Table1[[#This Row],[Revenue]]/Table1[[#This Row],[Orders]],0)</f>
        <v>1360</v>
      </c>
      <c r="U252" s="4">
        <f>Table1[[#This Row],[Market_Budget]]/Table1[[#This Row],[Clicks]]</f>
        <v>26.445065789473684</v>
      </c>
      <c r="V252" s="4">
        <f>IFERROR(Table1[[#This Row],[Market_Budget]]/Table1[[#This Row],[Leads]],0)</f>
        <v>1339.8833333333334</v>
      </c>
      <c r="W252" s="4">
        <f>IFERROR(Table1[[#This Row],[Market_Budget]]/Table1[[#This Row],[Orders]],0)</f>
        <v>8039.3</v>
      </c>
      <c r="X252" s="15">
        <f>(Table1[[#This Row],[Revenue]]-Table1[[#This Row],[Market_Budget]])/Table1[[#This Row],[Market_Budget]]</f>
        <v>-0.83083104250370055</v>
      </c>
      <c r="Y252" s="5">
        <f>Table1[[#This Row],[Revenue]]-Table1[[#This Row],[Market_Budget]]</f>
        <v>-13358.6</v>
      </c>
    </row>
    <row r="253" spans="1:25" x14ac:dyDescent="0.35">
      <c r="A253">
        <v>374754</v>
      </c>
      <c r="B253" s="1">
        <v>44250</v>
      </c>
      <c r="C253" s="1" t="str">
        <f>TEXT(Table1[[#This Row],[Date]],"dddd")</f>
        <v>Tuesday</v>
      </c>
      <c r="D253" s="1" t="str">
        <f>IF(WEEKDAY(Table1[[#This Row],[Date]],2)&gt;5,"Weekend","Weekday")</f>
        <v>Weekday</v>
      </c>
      <c r="E253" t="s">
        <v>45</v>
      </c>
      <c r="F253" t="str">
        <f>_xlfn.TEXTAFTER(Table1[[#This Row],[Campaign_Name]],"_")</f>
        <v>Blogger</v>
      </c>
      <c r="G253" t="str">
        <f>IF(ISNUMBER(SEARCH("Tier1",Table1[[#This Row],[Campaign_Name]])),"Tier1",IF(ISNUMBER(SEARCH("Tier2",Table1[[#This Row],[Campaign_Name]])),"Tier2","Not Applicable"))</f>
        <v>Not Applicable</v>
      </c>
      <c r="H253" t="s">
        <v>48</v>
      </c>
      <c r="I253" s="3">
        <v>15435</v>
      </c>
      <c r="J253" s="7">
        <v>117218</v>
      </c>
      <c r="K253" s="7">
        <v>1500</v>
      </c>
      <c r="L253" s="7">
        <v>31</v>
      </c>
      <c r="M253" s="7">
        <v>4</v>
      </c>
      <c r="N253" s="2">
        <v>17816</v>
      </c>
      <c r="O253" s="6">
        <f>Table1[[#This Row],[Clicks]]/Table1[[#This Row],[Impressions]]</f>
        <v>1.2796669453496903E-2</v>
      </c>
      <c r="P253" s="6">
        <f>Table1[[#This Row],[Leads]]/Table1[[#This Row],[Clicks]]</f>
        <v>2.0666666666666667E-2</v>
      </c>
      <c r="Q253" s="6" t="str">
        <f>IF(Table1[[#This Row],[Conversion1]]&gt;=2%,"High","Low")</f>
        <v>High</v>
      </c>
      <c r="R253" s="6">
        <f>IFERROR(Table1[[#This Row],[Orders]]/Table1[[#This Row],[Leads]],0)</f>
        <v>0.12903225806451613</v>
      </c>
      <c r="S253" s="6" t="str">
        <f>IF(Table1[[#This Row],[Conversion2]]&gt;=15%,"High","Low")</f>
        <v>Low</v>
      </c>
      <c r="T253" s="4">
        <f>IFERROR(Table1[[#This Row],[Revenue]]/Table1[[#This Row],[Orders]],0)</f>
        <v>4454</v>
      </c>
      <c r="U253" s="4">
        <f>Table1[[#This Row],[Market_Budget]]/Table1[[#This Row],[Clicks]]</f>
        <v>10.29</v>
      </c>
      <c r="V253" s="4">
        <f>IFERROR(Table1[[#This Row],[Market_Budget]]/Table1[[#This Row],[Leads]],0)</f>
        <v>497.90322580645159</v>
      </c>
      <c r="W253" s="4">
        <f>IFERROR(Table1[[#This Row],[Market_Budget]]/Table1[[#This Row],[Orders]],0)</f>
        <v>3858.75</v>
      </c>
      <c r="X253" s="15">
        <f>(Table1[[#This Row],[Revenue]]-Table1[[#This Row],[Market_Budget]])/Table1[[#This Row],[Market_Budget]]</f>
        <v>0.15425979915775834</v>
      </c>
      <c r="Y253" s="5">
        <f>Table1[[#This Row],[Revenue]]-Table1[[#This Row],[Market_Budget]]</f>
        <v>2381</v>
      </c>
    </row>
    <row r="254" spans="1:25" x14ac:dyDescent="0.35">
      <c r="A254">
        <v>39889</v>
      </c>
      <c r="B254" s="1">
        <v>44250</v>
      </c>
      <c r="C254" s="1" t="str">
        <f>TEXT(Table1[[#This Row],[Date]],"dddd")</f>
        <v>Tuesday</v>
      </c>
      <c r="D254" s="1" t="str">
        <f>IF(WEEKDAY(Table1[[#This Row],[Date]],2)&gt;5,"Weekend","Weekday")</f>
        <v>Weekday</v>
      </c>
      <c r="E254" t="s">
        <v>46</v>
      </c>
      <c r="F254" t="str">
        <f>_xlfn.TEXTAFTER(Table1[[#This Row],[Campaign_Name]],"_")</f>
        <v>Partner</v>
      </c>
      <c r="G254" t="str">
        <f>IF(ISNUMBER(SEARCH("Tier1",Table1[[#This Row],[Campaign_Name]])),"Tier1",IF(ISNUMBER(SEARCH("Tier2",Table1[[#This Row],[Campaign_Name]])),"Tier2","Not Applicable"))</f>
        <v>Not Applicable</v>
      </c>
      <c r="H254" t="s">
        <v>62</v>
      </c>
      <c r="I254" s="3">
        <v>16706.400000000001</v>
      </c>
      <c r="J254" s="7">
        <v>654544</v>
      </c>
      <c r="K254" s="7">
        <v>2099</v>
      </c>
      <c r="L254" s="7">
        <v>42</v>
      </c>
      <c r="M254" s="7">
        <v>6</v>
      </c>
      <c r="N254" s="2">
        <v>23886</v>
      </c>
      <c r="O254" s="6">
        <f>Table1[[#This Row],[Clicks]]/Table1[[#This Row],[Impressions]]</f>
        <v>3.2068126818059596E-3</v>
      </c>
      <c r="P254" s="6">
        <f>Table1[[#This Row],[Leads]]/Table1[[#This Row],[Clicks]]</f>
        <v>2.0009528346831826E-2</v>
      </c>
      <c r="Q254" s="6" t="str">
        <f>IF(Table1[[#This Row],[Conversion1]]&gt;=2%,"High","Low")</f>
        <v>High</v>
      </c>
      <c r="R254" s="6">
        <f>IFERROR(Table1[[#This Row],[Orders]]/Table1[[#This Row],[Leads]],0)</f>
        <v>0.14285714285714285</v>
      </c>
      <c r="S254" s="6" t="str">
        <f>IF(Table1[[#This Row],[Conversion2]]&gt;=15%,"High","Low")</f>
        <v>Low</v>
      </c>
      <c r="T254" s="4">
        <f>IFERROR(Table1[[#This Row],[Revenue]]/Table1[[#This Row],[Orders]],0)</f>
        <v>3981</v>
      </c>
      <c r="U254" s="4">
        <f>Table1[[#This Row],[Market_Budget]]/Table1[[#This Row],[Clicks]]</f>
        <v>7.9592186755597911</v>
      </c>
      <c r="V254" s="4">
        <f>IFERROR(Table1[[#This Row],[Market_Budget]]/Table1[[#This Row],[Leads]],0)</f>
        <v>397.7714285714286</v>
      </c>
      <c r="W254" s="4">
        <f>IFERROR(Table1[[#This Row],[Market_Budget]]/Table1[[#This Row],[Orders]],0)</f>
        <v>2784.4</v>
      </c>
      <c r="X254" s="15">
        <f>(Table1[[#This Row],[Revenue]]-Table1[[#This Row],[Market_Budget]])/Table1[[#This Row],[Market_Budget]]</f>
        <v>0.42975147248958473</v>
      </c>
      <c r="Y254" s="5">
        <f>Table1[[#This Row],[Revenue]]-Table1[[#This Row],[Market_Budget]]</f>
        <v>7179.5999999999985</v>
      </c>
    </row>
    <row r="255" spans="1:25" x14ac:dyDescent="0.35">
      <c r="A255">
        <v>349043</v>
      </c>
      <c r="B255" s="1">
        <v>44251</v>
      </c>
      <c r="C255" s="1" t="str">
        <f>TEXT(Table1[[#This Row],[Date]],"dddd")</f>
        <v>Wednesday</v>
      </c>
      <c r="D255" s="1" t="str">
        <f>IF(WEEKDAY(Table1[[#This Row],[Date]],2)&gt;5,"Weekend","Weekday")</f>
        <v>Weekday</v>
      </c>
      <c r="E255" t="s">
        <v>36</v>
      </c>
      <c r="F255" t="str">
        <f>_xlfn.TEXTAFTER(Table1[[#This Row],[Campaign_Name]],"_")</f>
        <v>Tier1</v>
      </c>
      <c r="G255" t="str">
        <f>IF(ISNUMBER(SEARCH("Tier1",Table1[[#This Row],[Campaign_Name]])),"Tier1",IF(ISNUMBER(SEARCH("Tier2",Table1[[#This Row],[Campaign_Name]])),"Tier2","Not Applicable"))</f>
        <v>Tier1</v>
      </c>
      <c r="H255" t="s">
        <v>61</v>
      </c>
      <c r="I255" s="3">
        <v>94564.2</v>
      </c>
      <c r="J255" s="7">
        <v>479596</v>
      </c>
      <c r="K255" s="7">
        <v>2408</v>
      </c>
      <c r="L255" s="7">
        <v>93</v>
      </c>
      <c r="M255" s="7">
        <v>15</v>
      </c>
      <c r="N255" s="2">
        <v>81825</v>
      </c>
      <c r="O255" s="6">
        <f>Table1[[#This Row],[Clicks]]/Table1[[#This Row],[Impressions]]</f>
        <v>5.0208925845920318E-3</v>
      </c>
      <c r="P255" s="6">
        <f>Table1[[#This Row],[Leads]]/Table1[[#This Row],[Clicks]]</f>
        <v>3.8621262458471764E-2</v>
      </c>
      <c r="Q255" s="6" t="str">
        <f>IF(Table1[[#This Row],[Conversion1]]&gt;=2%,"High","Low")</f>
        <v>High</v>
      </c>
      <c r="R255" s="6">
        <f>IFERROR(Table1[[#This Row],[Orders]]/Table1[[#This Row],[Leads]],0)</f>
        <v>0.16129032258064516</v>
      </c>
      <c r="S255" s="6" t="str">
        <f>IF(Table1[[#This Row],[Conversion2]]&gt;=15%,"High","Low")</f>
        <v>High</v>
      </c>
      <c r="T255" s="4">
        <f>IFERROR(Table1[[#This Row],[Revenue]]/Table1[[#This Row],[Orders]],0)</f>
        <v>5455</v>
      </c>
      <c r="U255" s="4">
        <f>Table1[[#This Row],[Market_Budget]]/Table1[[#This Row],[Clicks]]</f>
        <v>39.270847176079734</v>
      </c>
      <c r="V255" s="4">
        <f>IFERROR(Table1[[#This Row],[Market_Budget]]/Table1[[#This Row],[Leads]],0)</f>
        <v>1016.8193548387096</v>
      </c>
      <c r="W255" s="4">
        <f>IFERROR(Table1[[#This Row],[Market_Budget]]/Table1[[#This Row],[Orders]],0)</f>
        <v>6304.28</v>
      </c>
      <c r="X255" s="15">
        <f>(Table1[[#This Row],[Revenue]]-Table1[[#This Row],[Market_Budget]])/Table1[[#This Row],[Market_Budget]]</f>
        <v>-0.13471482865608758</v>
      </c>
      <c r="Y255" s="5">
        <f>Table1[[#This Row],[Revenue]]-Table1[[#This Row],[Market_Budget]]</f>
        <v>-12739.199999999997</v>
      </c>
    </row>
    <row r="256" spans="1:25" x14ac:dyDescent="0.35">
      <c r="A256">
        <v>348934</v>
      </c>
      <c r="B256" s="1">
        <v>44251</v>
      </c>
      <c r="C256" s="1" t="str">
        <f>TEXT(Table1[[#This Row],[Date]],"dddd")</f>
        <v>Wednesday</v>
      </c>
      <c r="D256" s="1" t="str">
        <f>IF(WEEKDAY(Table1[[#This Row],[Date]],2)&gt;5,"Weekend","Weekday")</f>
        <v>Weekday</v>
      </c>
      <c r="E256" t="s">
        <v>37</v>
      </c>
      <c r="F256" t="str">
        <f>_xlfn.TEXTAFTER(Table1[[#This Row],[Campaign_Name]],"_")</f>
        <v>Tier2</v>
      </c>
      <c r="G256" t="str">
        <f>IF(ISNUMBER(SEARCH("Tier1",Table1[[#This Row],[Campaign_Name]])),"Tier1",IF(ISNUMBER(SEARCH("Tier2",Table1[[#This Row],[Campaign_Name]])),"Tier2","Not Applicable"))</f>
        <v>Tier2</v>
      </c>
      <c r="H256" t="s">
        <v>61</v>
      </c>
      <c r="I256" s="3">
        <v>44347.199999999997</v>
      </c>
      <c r="J256" s="7">
        <v>395127</v>
      </c>
      <c r="K256" s="7">
        <v>3297</v>
      </c>
      <c r="L256" s="7">
        <v>66</v>
      </c>
      <c r="M256" s="7">
        <v>7</v>
      </c>
      <c r="N256" s="2">
        <v>34867</v>
      </c>
      <c r="O256" s="6">
        <f>Table1[[#This Row],[Clicks]]/Table1[[#This Row],[Impressions]]</f>
        <v>8.3441526395310883E-3</v>
      </c>
      <c r="P256" s="6">
        <f>Table1[[#This Row],[Leads]]/Table1[[#This Row],[Clicks]]</f>
        <v>2.0018198362147407E-2</v>
      </c>
      <c r="Q256" s="6" t="str">
        <f>IF(Table1[[#This Row],[Conversion1]]&gt;=2%,"High","Low")</f>
        <v>High</v>
      </c>
      <c r="R256" s="6">
        <f>IFERROR(Table1[[#This Row],[Orders]]/Table1[[#This Row],[Leads]],0)</f>
        <v>0.10606060606060606</v>
      </c>
      <c r="S256" s="6" t="str">
        <f>IF(Table1[[#This Row],[Conversion2]]&gt;=15%,"High","Low")</f>
        <v>Low</v>
      </c>
      <c r="T256" s="4">
        <f>IFERROR(Table1[[#This Row],[Revenue]]/Table1[[#This Row],[Orders]],0)</f>
        <v>4981</v>
      </c>
      <c r="U256" s="4">
        <f>Table1[[#This Row],[Market_Budget]]/Table1[[#This Row],[Clicks]]</f>
        <v>13.450773430391264</v>
      </c>
      <c r="V256" s="4">
        <f>IFERROR(Table1[[#This Row],[Market_Budget]]/Table1[[#This Row],[Leads]],0)</f>
        <v>671.92727272727268</v>
      </c>
      <c r="W256" s="4">
        <f>IFERROR(Table1[[#This Row],[Market_Budget]]/Table1[[#This Row],[Orders]],0)</f>
        <v>6335.3142857142857</v>
      </c>
      <c r="X256" s="15">
        <f>(Table1[[#This Row],[Revenue]]-Table1[[#This Row],[Market_Budget]])/Table1[[#This Row],[Market_Budget]]</f>
        <v>-0.21377223364722006</v>
      </c>
      <c r="Y256" s="5">
        <f>Table1[[#This Row],[Revenue]]-Table1[[#This Row],[Market_Budget]]</f>
        <v>-9480.1999999999971</v>
      </c>
    </row>
    <row r="257" spans="1:25" x14ac:dyDescent="0.35">
      <c r="A257">
        <v>89459845</v>
      </c>
      <c r="B257" s="1">
        <v>44251</v>
      </c>
      <c r="C257" s="1" t="str">
        <f>TEXT(Table1[[#This Row],[Date]],"dddd")</f>
        <v>Wednesday</v>
      </c>
      <c r="D257" s="1" t="str">
        <f>IF(WEEKDAY(Table1[[#This Row],[Date]],2)&gt;5,"Weekend","Weekday")</f>
        <v>Weekday</v>
      </c>
      <c r="E257" t="s">
        <v>38</v>
      </c>
      <c r="F257" t="str">
        <f>_xlfn.TEXTAFTER(Table1[[#This Row],[Campaign_Name]],"_")</f>
        <v>Hot</v>
      </c>
      <c r="G257" t="str">
        <f>IF(ISNUMBER(SEARCH("Tier1",Table1[[#This Row],[Campaign_Name]])),"Tier1",IF(ISNUMBER(SEARCH("Tier2",Table1[[#This Row],[Campaign_Name]])),"Tier2","Not Applicable"))</f>
        <v>Not Applicable</v>
      </c>
      <c r="H257" t="s">
        <v>47</v>
      </c>
      <c r="I257" s="3">
        <v>14306.2</v>
      </c>
      <c r="J257" s="7">
        <v>45150</v>
      </c>
      <c r="K257" s="7">
        <v>903</v>
      </c>
      <c r="L257" s="7">
        <v>18</v>
      </c>
      <c r="M257" s="7">
        <v>3</v>
      </c>
      <c r="N257" s="2">
        <v>23943</v>
      </c>
      <c r="O257" s="6">
        <f>Table1[[#This Row],[Clicks]]/Table1[[#This Row],[Impressions]]</f>
        <v>0.02</v>
      </c>
      <c r="P257" s="6">
        <f>Table1[[#This Row],[Leads]]/Table1[[#This Row],[Clicks]]</f>
        <v>1.9933554817275746E-2</v>
      </c>
      <c r="Q257" s="6" t="str">
        <f>IF(Table1[[#This Row],[Conversion1]]&gt;=2%,"High","Low")</f>
        <v>Low</v>
      </c>
      <c r="R257" s="6">
        <f>IFERROR(Table1[[#This Row],[Orders]]/Table1[[#This Row],[Leads]],0)</f>
        <v>0.16666666666666666</v>
      </c>
      <c r="S257" s="6" t="str">
        <f>IF(Table1[[#This Row],[Conversion2]]&gt;=15%,"High","Low")</f>
        <v>High</v>
      </c>
      <c r="T257" s="4">
        <f>IFERROR(Table1[[#This Row],[Revenue]]/Table1[[#This Row],[Orders]],0)</f>
        <v>7981</v>
      </c>
      <c r="U257" s="4">
        <f>Table1[[#This Row],[Market_Budget]]/Table1[[#This Row],[Clicks]]</f>
        <v>15.842967884828351</v>
      </c>
      <c r="V257" s="4">
        <f>IFERROR(Table1[[#This Row],[Market_Budget]]/Table1[[#This Row],[Leads]],0)</f>
        <v>794.78888888888889</v>
      </c>
      <c r="W257" s="4">
        <f>IFERROR(Table1[[#This Row],[Market_Budget]]/Table1[[#This Row],[Orders]],0)</f>
        <v>4768.7333333333336</v>
      </c>
      <c r="X257" s="15">
        <f>(Table1[[#This Row],[Revenue]]-Table1[[#This Row],[Market_Budget]])/Table1[[#This Row],[Market_Budget]]</f>
        <v>0.67361004319805395</v>
      </c>
      <c r="Y257" s="5">
        <f>Table1[[#This Row],[Revenue]]-Table1[[#This Row],[Market_Budget]]</f>
        <v>9636.7999999999993</v>
      </c>
    </row>
    <row r="258" spans="1:25" x14ac:dyDescent="0.35">
      <c r="A258">
        <v>127823</v>
      </c>
      <c r="B258" s="1">
        <v>44251</v>
      </c>
      <c r="C258" s="1" t="str">
        <f>TEXT(Table1[[#This Row],[Date]],"dddd")</f>
        <v>Wednesday</v>
      </c>
      <c r="D258" s="1" t="str">
        <f>IF(WEEKDAY(Table1[[#This Row],[Date]],2)&gt;5,"Weekend","Weekday")</f>
        <v>Weekday</v>
      </c>
      <c r="E258" t="s">
        <v>39</v>
      </c>
      <c r="F258" t="str">
        <f>_xlfn.TEXTAFTER(Table1[[#This Row],[Campaign_Name]],"_")</f>
        <v>Wide</v>
      </c>
      <c r="G258" t="str">
        <f>IF(ISNUMBER(SEARCH("Tier1",Table1[[#This Row],[Campaign_Name]])),"Tier1",IF(ISNUMBER(SEARCH("Tier2",Table1[[#This Row],[Campaign_Name]])),"Tier2","Not Applicable"))</f>
        <v>Not Applicable</v>
      </c>
      <c r="H258" t="s">
        <v>47</v>
      </c>
      <c r="I258" s="3">
        <v>22357.599999999999</v>
      </c>
      <c r="J258" s="7">
        <v>291441</v>
      </c>
      <c r="K258" s="7">
        <v>2408</v>
      </c>
      <c r="L258" s="7">
        <v>52</v>
      </c>
      <c r="M258" s="7">
        <v>5</v>
      </c>
      <c r="N258" s="2">
        <v>19060</v>
      </c>
      <c r="O258" s="6">
        <f>Table1[[#This Row],[Clicks]]/Table1[[#This Row],[Impressions]]</f>
        <v>8.262392731290381E-3</v>
      </c>
      <c r="P258" s="6">
        <f>Table1[[#This Row],[Leads]]/Table1[[#This Row],[Clicks]]</f>
        <v>2.1594684385382059E-2</v>
      </c>
      <c r="Q258" s="6" t="str">
        <f>IF(Table1[[#This Row],[Conversion1]]&gt;=2%,"High","Low")</f>
        <v>High</v>
      </c>
      <c r="R258" s="6">
        <f>IFERROR(Table1[[#This Row],[Orders]]/Table1[[#This Row],[Leads]],0)</f>
        <v>9.6153846153846159E-2</v>
      </c>
      <c r="S258" s="6" t="str">
        <f>IF(Table1[[#This Row],[Conversion2]]&gt;=15%,"High","Low")</f>
        <v>Low</v>
      </c>
      <c r="T258" s="4">
        <f>IFERROR(Table1[[#This Row],[Revenue]]/Table1[[#This Row],[Orders]],0)</f>
        <v>3812</v>
      </c>
      <c r="U258" s="4">
        <f>Table1[[#This Row],[Market_Budget]]/Table1[[#This Row],[Clicks]]</f>
        <v>9.2847176079734215</v>
      </c>
      <c r="V258" s="4">
        <f>IFERROR(Table1[[#This Row],[Market_Budget]]/Table1[[#This Row],[Leads]],0)</f>
        <v>429.95384615384614</v>
      </c>
      <c r="W258" s="4">
        <f>IFERROR(Table1[[#This Row],[Market_Budget]]/Table1[[#This Row],[Orders]],0)</f>
        <v>4471.5199999999995</v>
      </c>
      <c r="X258" s="15">
        <f>(Table1[[#This Row],[Revenue]]-Table1[[#This Row],[Market_Budget]])/Table1[[#This Row],[Market_Budget]]</f>
        <v>-0.14749346978208747</v>
      </c>
      <c r="Y258" s="5">
        <f>Table1[[#This Row],[Revenue]]-Table1[[#This Row],[Market_Budget]]</f>
        <v>-3297.5999999999985</v>
      </c>
    </row>
    <row r="259" spans="1:25" x14ac:dyDescent="0.35">
      <c r="A259">
        <v>10934</v>
      </c>
      <c r="B259" s="1">
        <v>44251</v>
      </c>
      <c r="C259" s="1" t="str">
        <f>TEXT(Table1[[#This Row],[Date]],"dddd")</f>
        <v>Wednesday</v>
      </c>
      <c r="D259" s="1" t="str">
        <f>IF(WEEKDAY(Table1[[#This Row],[Date]],2)&gt;5,"Weekend","Weekday")</f>
        <v>Weekday</v>
      </c>
      <c r="E259" t="s">
        <v>40</v>
      </c>
      <c r="F259" t="str">
        <f>_xlfn.TEXTAFTER(Table1[[#This Row],[Campaign_Name]],"_")</f>
        <v>Blogger</v>
      </c>
      <c r="G259" t="str">
        <f>IF(ISNUMBER(SEARCH("Tier1",Table1[[#This Row],[Campaign_Name]])),"Tier1",IF(ISNUMBER(SEARCH("Tier2",Table1[[#This Row],[Campaign_Name]])),"Tier2","Not Applicable"))</f>
        <v>Not Applicable</v>
      </c>
      <c r="H259" t="s">
        <v>48</v>
      </c>
      <c r="I259" s="3">
        <v>22944.3</v>
      </c>
      <c r="J259" s="7">
        <v>409320</v>
      </c>
      <c r="K259" s="7">
        <v>4508</v>
      </c>
      <c r="L259" s="7">
        <v>65</v>
      </c>
      <c r="M259" s="7">
        <v>14</v>
      </c>
      <c r="N259" s="2">
        <v>111734</v>
      </c>
      <c r="O259" s="6">
        <f>Table1[[#This Row],[Clicks]]/Table1[[#This Row],[Impressions]]</f>
        <v>1.1013388058242939E-2</v>
      </c>
      <c r="P259" s="6">
        <f>Table1[[#This Row],[Leads]]/Table1[[#This Row],[Clicks]]</f>
        <v>1.4418811002661935E-2</v>
      </c>
      <c r="Q259" s="6" t="str">
        <f>IF(Table1[[#This Row],[Conversion1]]&gt;=2%,"High","Low")</f>
        <v>Low</v>
      </c>
      <c r="R259" s="6">
        <f>IFERROR(Table1[[#This Row],[Orders]]/Table1[[#This Row],[Leads]],0)</f>
        <v>0.2153846153846154</v>
      </c>
      <c r="S259" s="6" t="str">
        <f>IF(Table1[[#This Row],[Conversion2]]&gt;=15%,"High","Low")</f>
        <v>High</v>
      </c>
      <c r="T259" s="4">
        <f>IFERROR(Table1[[#This Row],[Revenue]]/Table1[[#This Row],[Orders]],0)</f>
        <v>7981</v>
      </c>
      <c r="U259" s="4">
        <f>Table1[[#This Row],[Market_Budget]]/Table1[[#This Row],[Clicks]]</f>
        <v>5.0896850044365571</v>
      </c>
      <c r="V259" s="4">
        <f>IFERROR(Table1[[#This Row],[Market_Budget]]/Table1[[#This Row],[Leads]],0)</f>
        <v>352.98923076923074</v>
      </c>
      <c r="W259" s="4">
        <f>IFERROR(Table1[[#This Row],[Market_Budget]]/Table1[[#This Row],[Orders]],0)</f>
        <v>1638.8785714285714</v>
      </c>
      <c r="X259" s="15">
        <f>(Table1[[#This Row],[Revenue]]-Table1[[#This Row],[Market_Budget]])/Table1[[#This Row],[Market_Budget]]</f>
        <v>3.8697933691592246</v>
      </c>
      <c r="Y259" s="5">
        <f>Table1[[#This Row],[Revenue]]-Table1[[#This Row],[Market_Budget]]</f>
        <v>88789.7</v>
      </c>
    </row>
    <row r="260" spans="1:25" x14ac:dyDescent="0.35">
      <c r="A260">
        <v>9034945</v>
      </c>
      <c r="B260" s="1">
        <v>44251</v>
      </c>
      <c r="C260" s="1" t="str">
        <f>TEXT(Table1[[#This Row],[Date]],"dddd")</f>
        <v>Wednesday</v>
      </c>
      <c r="D260" s="1" t="str">
        <f>IF(WEEKDAY(Table1[[#This Row],[Date]],2)&gt;5,"Weekend","Weekday")</f>
        <v>Weekday</v>
      </c>
      <c r="E260" t="s">
        <v>41</v>
      </c>
      <c r="F260" t="str">
        <f>_xlfn.TEXTAFTER(Table1[[#This Row],[Campaign_Name]],"_")</f>
        <v>Tier1</v>
      </c>
      <c r="G260" t="str">
        <f>IF(ISNUMBER(SEARCH("Tier1",Table1[[#This Row],[Campaign_Name]])),"Tier1",IF(ISNUMBER(SEARCH("Tier2",Table1[[#This Row],[Campaign_Name]])),"Tier2","Not Applicable"))</f>
        <v>Tier1</v>
      </c>
      <c r="H260" t="s">
        <v>61</v>
      </c>
      <c r="I260" s="3">
        <v>23908.400000000001</v>
      </c>
      <c r="J260" s="7">
        <v>869482</v>
      </c>
      <c r="K260" s="7">
        <v>2703</v>
      </c>
      <c r="L260" s="7">
        <v>42</v>
      </c>
      <c r="M260" s="7">
        <v>7</v>
      </c>
      <c r="N260" s="2">
        <v>36456</v>
      </c>
      <c r="O260" s="6">
        <f>Table1[[#This Row],[Clicks]]/Table1[[#This Row],[Impressions]]</f>
        <v>3.1087475071364329E-3</v>
      </c>
      <c r="P260" s="6">
        <f>Table1[[#This Row],[Leads]]/Table1[[#This Row],[Clicks]]</f>
        <v>1.5538290788013319E-2</v>
      </c>
      <c r="Q260" s="6" t="str">
        <f>IF(Table1[[#This Row],[Conversion1]]&gt;=2%,"High","Low")</f>
        <v>Low</v>
      </c>
      <c r="R260" s="6">
        <f>IFERROR(Table1[[#This Row],[Orders]]/Table1[[#This Row],[Leads]],0)</f>
        <v>0.16666666666666666</v>
      </c>
      <c r="S260" s="6" t="str">
        <f>IF(Table1[[#This Row],[Conversion2]]&gt;=15%,"High","Low")</f>
        <v>High</v>
      </c>
      <c r="T260" s="4">
        <f>IFERROR(Table1[[#This Row],[Revenue]]/Table1[[#This Row],[Orders]],0)</f>
        <v>5208</v>
      </c>
      <c r="U260" s="4">
        <f>Table1[[#This Row],[Market_Budget]]/Table1[[#This Row],[Clicks]]</f>
        <v>8.845135035146134</v>
      </c>
      <c r="V260" s="4">
        <f>IFERROR(Table1[[#This Row],[Market_Budget]]/Table1[[#This Row],[Leads]],0)</f>
        <v>569.24761904761908</v>
      </c>
      <c r="W260" s="4">
        <f>IFERROR(Table1[[#This Row],[Market_Budget]]/Table1[[#This Row],[Orders]],0)</f>
        <v>3415.4857142857145</v>
      </c>
      <c r="X260" s="15">
        <f>(Table1[[#This Row],[Revenue]]-Table1[[#This Row],[Market_Budget]])/Table1[[#This Row],[Market_Budget]]</f>
        <v>0.52481972863094128</v>
      </c>
      <c r="Y260" s="5">
        <f>Table1[[#This Row],[Revenue]]-Table1[[#This Row],[Market_Budget]]</f>
        <v>12547.599999999999</v>
      </c>
    </row>
    <row r="261" spans="1:25" x14ac:dyDescent="0.35">
      <c r="A261">
        <v>983498</v>
      </c>
      <c r="B261" s="1">
        <v>44251</v>
      </c>
      <c r="C261" s="1" t="str">
        <f>TEXT(Table1[[#This Row],[Date]],"dddd")</f>
        <v>Wednesday</v>
      </c>
      <c r="D261" s="1" t="str">
        <f>IF(WEEKDAY(Table1[[#This Row],[Date]],2)&gt;5,"Weekend","Weekday")</f>
        <v>Weekday</v>
      </c>
      <c r="E261" t="s">
        <v>42</v>
      </c>
      <c r="F261" t="str">
        <f>_xlfn.TEXTAFTER(Table1[[#This Row],[Campaign_Name]],"_")</f>
        <v>Tier2</v>
      </c>
      <c r="G261" t="str">
        <f>IF(ISNUMBER(SEARCH("Tier1",Table1[[#This Row],[Campaign_Name]])),"Tier1",IF(ISNUMBER(SEARCH("Tier2",Table1[[#This Row],[Campaign_Name]])),"Tier2","Not Applicable"))</f>
        <v>Tier2</v>
      </c>
      <c r="H261" t="s">
        <v>61</v>
      </c>
      <c r="I261" s="3">
        <v>18675</v>
      </c>
      <c r="J261" s="7">
        <v>624157</v>
      </c>
      <c r="K261" s="7">
        <v>5098</v>
      </c>
      <c r="L261" s="7">
        <v>122</v>
      </c>
      <c r="M261" s="7">
        <v>6</v>
      </c>
      <c r="N261" s="2">
        <v>10590</v>
      </c>
      <c r="O261" s="6">
        <f>Table1[[#This Row],[Clicks]]/Table1[[#This Row],[Impressions]]</f>
        <v>8.1678167512340642E-3</v>
      </c>
      <c r="P261" s="6">
        <f>Table1[[#This Row],[Leads]]/Table1[[#This Row],[Clicks]]</f>
        <v>2.39309533150255E-2</v>
      </c>
      <c r="Q261" s="6" t="str">
        <f>IF(Table1[[#This Row],[Conversion1]]&gt;=2%,"High","Low")</f>
        <v>High</v>
      </c>
      <c r="R261" s="6">
        <f>IFERROR(Table1[[#This Row],[Orders]]/Table1[[#This Row],[Leads]],0)</f>
        <v>4.9180327868852458E-2</v>
      </c>
      <c r="S261" s="6" t="str">
        <f>IF(Table1[[#This Row],[Conversion2]]&gt;=15%,"High","Low")</f>
        <v>Low</v>
      </c>
      <c r="T261" s="4">
        <f>IFERROR(Table1[[#This Row],[Revenue]]/Table1[[#This Row],[Orders]],0)</f>
        <v>1765</v>
      </c>
      <c r="U261" s="4">
        <f>Table1[[#This Row],[Market_Budget]]/Table1[[#This Row],[Clicks]]</f>
        <v>3.6632012553942723</v>
      </c>
      <c r="V261" s="4">
        <f>IFERROR(Table1[[#This Row],[Market_Budget]]/Table1[[#This Row],[Leads]],0)</f>
        <v>153.07377049180329</v>
      </c>
      <c r="W261" s="4">
        <f>IFERROR(Table1[[#This Row],[Market_Budget]]/Table1[[#This Row],[Orders]],0)</f>
        <v>3112.5</v>
      </c>
      <c r="X261" s="15">
        <f>(Table1[[#This Row],[Revenue]]-Table1[[#This Row],[Market_Budget]])/Table1[[#This Row],[Market_Budget]]</f>
        <v>-0.43293172690763054</v>
      </c>
      <c r="Y261" s="5">
        <f>Table1[[#This Row],[Revenue]]-Table1[[#This Row],[Market_Budget]]</f>
        <v>-8085</v>
      </c>
    </row>
    <row r="262" spans="1:25" x14ac:dyDescent="0.35">
      <c r="A262">
        <v>4387490</v>
      </c>
      <c r="B262" s="1">
        <v>44251</v>
      </c>
      <c r="C262" s="1" t="str">
        <f>TEXT(Table1[[#This Row],[Date]],"dddd")</f>
        <v>Wednesday</v>
      </c>
      <c r="D262" s="1" t="str">
        <f>IF(WEEKDAY(Table1[[#This Row],[Date]],2)&gt;5,"Weekend","Weekday")</f>
        <v>Weekday</v>
      </c>
      <c r="E262" t="s">
        <v>43</v>
      </c>
      <c r="F262" t="str">
        <f>_xlfn.TEXTAFTER(Table1[[#This Row],[Campaign_Name]],"_")</f>
        <v>Retargeting</v>
      </c>
      <c r="G262" t="str">
        <f>IF(ISNUMBER(SEARCH("Tier1",Table1[[#This Row],[Campaign_Name]])),"Tier1",IF(ISNUMBER(SEARCH("Tier2",Table1[[#This Row],[Campaign_Name]])),"Tier2","Not Applicable"))</f>
        <v>Not Applicable</v>
      </c>
      <c r="H262" t="s">
        <v>61</v>
      </c>
      <c r="I262" s="3">
        <v>2857.1</v>
      </c>
      <c r="J262" s="7">
        <v>8966</v>
      </c>
      <c r="K262" s="7">
        <v>297</v>
      </c>
      <c r="L262" s="7">
        <v>6</v>
      </c>
      <c r="M262" s="7">
        <v>1</v>
      </c>
      <c r="N262" s="2">
        <v>4981</v>
      </c>
      <c r="O262" s="6">
        <f>Table1[[#This Row],[Clicks]]/Table1[[#This Row],[Impressions]]</f>
        <v>3.3125139415569931E-2</v>
      </c>
      <c r="P262" s="6">
        <f>Table1[[#This Row],[Leads]]/Table1[[#This Row],[Clicks]]</f>
        <v>2.0202020202020204E-2</v>
      </c>
      <c r="Q262" s="6" t="str">
        <f>IF(Table1[[#This Row],[Conversion1]]&gt;=2%,"High","Low")</f>
        <v>High</v>
      </c>
      <c r="R262" s="6">
        <f>IFERROR(Table1[[#This Row],[Orders]]/Table1[[#This Row],[Leads]],0)</f>
        <v>0.16666666666666666</v>
      </c>
      <c r="S262" s="6" t="str">
        <f>IF(Table1[[#This Row],[Conversion2]]&gt;=15%,"High","Low")</f>
        <v>High</v>
      </c>
      <c r="T262" s="4">
        <f>IFERROR(Table1[[#This Row],[Revenue]]/Table1[[#This Row],[Orders]],0)</f>
        <v>4981</v>
      </c>
      <c r="U262" s="4">
        <f>Table1[[#This Row],[Market_Budget]]/Table1[[#This Row],[Clicks]]</f>
        <v>9.619865319865319</v>
      </c>
      <c r="V262" s="4">
        <f>IFERROR(Table1[[#This Row],[Market_Budget]]/Table1[[#This Row],[Leads]],0)</f>
        <v>476.18333333333334</v>
      </c>
      <c r="W262" s="4">
        <f>IFERROR(Table1[[#This Row],[Market_Budget]]/Table1[[#This Row],[Orders]],0)</f>
        <v>2857.1</v>
      </c>
      <c r="X262" s="15">
        <f>(Table1[[#This Row],[Revenue]]-Table1[[#This Row],[Market_Budget]])/Table1[[#This Row],[Market_Budget]]</f>
        <v>0.7433761506422597</v>
      </c>
      <c r="Y262" s="5">
        <f>Table1[[#This Row],[Revenue]]-Table1[[#This Row],[Market_Budget]]</f>
        <v>2123.9</v>
      </c>
    </row>
    <row r="263" spans="1:25" x14ac:dyDescent="0.35">
      <c r="A263">
        <v>544756</v>
      </c>
      <c r="B263" s="1">
        <v>44251</v>
      </c>
      <c r="C263" s="1" t="str">
        <f>TEXT(Table1[[#This Row],[Date]],"dddd")</f>
        <v>Wednesday</v>
      </c>
      <c r="D263" s="1" t="str">
        <f>IF(WEEKDAY(Table1[[#This Row],[Date]],2)&gt;5,"Weekend","Weekday")</f>
        <v>Weekday</v>
      </c>
      <c r="E263" t="s">
        <v>44</v>
      </c>
      <c r="F263" t="str">
        <f>_xlfn.TEXTAFTER(Table1[[#This Row],[Campaign_Name]],"_")</f>
        <v>Lal</v>
      </c>
      <c r="G263" t="str">
        <f>IF(ISNUMBER(SEARCH("Tier1",Table1[[#This Row],[Campaign_Name]])),"Tier1",IF(ISNUMBER(SEARCH("Tier2",Table1[[#This Row],[Campaign_Name]])),"Tier2","Not Applicable"))</f>
        <v>Not Applicable</v>
      </c>
      <c r="H263" t="s">
        <v>61</v>
      </c>
      <c r="I263" s="3">
        <v>48796.6</v>
      </c>
      <c r="J263" s="7">
        <v>148794</v>
      </c>
      <c r="K263" s="7">
        <v>1196</v>
      </c>
      <c r="L263" s="7">
        <v>38</v>
      </c>
      <c r="M263" s="7">
        <v>6</v>
      </c>
      <c r="N263" s="2">
        <v>8178</v>
      </c>
      <c r="O263" s="6">
        <f>Table1[[#This Row],[Clicks]]/Table1[[#This Row],[Impressions]]</f>
        <v>8.0379585198327892E-3</v>
      </c>
      <c r="P263" s="6">
        <f>Table1[[#This Row],[Leads]]/Table1[[#This Row],[Clicks]]</f>
        <v>3.177257525083612E-2</v>
      </c>
      <c r="Q263" s="6" t="str">
        <f>IF(Table1[[#This Row],[Conversion1]]&gt;=2%,"High","Low")</f>
        <v>High</v>
      </c>
      <c r="R263" s="6">
        <f>IFERROR(Table1[[#This Row],[Orders]]/Table1[[#This Row],[Leads]],0)</f>
        <v>0.15789473684210525</v>
      </c>
      <c r="S263" s="6" t="str">
        <f>IF(Table1[[#This Row],[Conversion2]]&gt;=15%,"High","Low")</f>
        <v>High</v>
      </c>
      <c r="T263" s="4">
        <f>IFERROR(Table1[[#This Row],[Revenue]]/Table1[[#This Row],[Orders]],0)</f>
        <v>1363</v>
      </c>
      <c r="U263" s="4">
        <f>Table1[[#This Row],[Market_Budget]]/Table1[[#This Row],[Clicks]]</f>
        <v>40.799832775919732</v>
      </c>
      <c r="V263" s="4">
        <f>IFERROR(Table1[[#This Row],[Market_Budget]]/Table1[[#This Row],[Leads]],0)</f>
        <v>1284.121052631579</v>
      </c>
      <c r="W263" s="4">
        <f>IFERROR(Table1[[#This Row],[Market_Budget]]/Table1[[#This Row],[Orders]],0)</f>
        <v>8132.7666666666664</v>
      </c>
      <c r="X263" s="15">
        <f>(Table1[[#This Row],[Revenue]]-Table1[[#This Row],[Market_Budget]])/Table1[[#This Row],[Market_Budget]]</f>
        <v>-0.83240635618055359</v>
      </c>
      <c r="Y263" s="5">
        <f>Table1[[#This Row],[Revenue]]-Table1[[#This Row],[Market_Budget]]</f>
        <v>-40618.6</v>
      </c>
    </row>
    <row r="264" spans="1:25" x14ac:dyDescent="0.35">
      <c r="A264">
        <v>374754</v>
      </c>
      <c r="B264" s="1">
        <v>44251</v>
      </c>
      <c r="C264" s="1" t="str">
        <f>TEXT(Table1[[#This Row],[Date]],"dddd")</f>
        <v>Wednesday</v>
      </c>
      <c r="D264" s="1" t="str">
        <f>IF(WEEKDAY(Table1[[#This Row],[Date]],2)&gt;5,"Weekend","Weekday")</f>
        <v>Weekday</v>
      </c>
      <c r="E264" t="s">
        <v>45</v>
      </c>
      <c r="F264" t="str">
        <f>_xlfn.TEXTAFTER(Table1[[#This Row],[Campaign_Name]],"_")</f>
        <v>Blogger</v>
      </c>
      <c r="G264" t="str">
        <f>IF(ISNUMBER(SEARCH("Tier1",Table1[[#This Row],[Campaign_Name]])),"Tier1",IF(ISNUMBER(SEARCH("Tier2",Table1[[#This Row],[Campaign_Name]])),"Tier2","Not Applicable"))</f>
        <v>Not Applicable</v>
      </c>
      <c r="H264" t="s">
        <v>48</v>
      </c>
      <c r="I264" s="3">
        <v>42311.5</v>
      </c>
      <c r="J264" s="7">
        <v>355802</v>
      </c>
      <c r="K264" s="7">
        <v>2990</v>
      </c>
      <c r="L264" s="7">
        <v>60</v>
      </c>
      <c r="M264" s="7">
        <v>9</v>
      </c>
      <c r="N264" s="2">
        <v>44829</v>
      </c>
      <c r="O264" s="6">
        <f>Table1[[#This Row],[Clicks]]/Table1[[#This Row],[Impressions]]</f>
        <v>8.4035502892057939E-3</v>
      </c>
      <c r="P264" s="6">
        <f>Table1[[#This Row],[Leads]]/Table1[[#This Row],[Clicks]]</f>
        <v>2.0066889632107024E-2</v>
      </c>
      <c r="Q264" s="6" t="str">
        <f>IF(Table1[[#This Row],[Conversion1]]&gt;=2%,"High","Low")</f>
        <v>High</v>
      </c>
      <c r="R264" s="6">
        <f>IFERROR(Table1[[#This Row],[Orders]]/Table1[[#This Row],[Leads]],0)</f>
        <v>0.15</v>
      </c>
      <c r="S264" s="6" t="str">
        <f>IF(Table1[[#This Row],[Conversion2]]&gt;=15%,"High","Low")</f>
        <v>High</v>
      </c>
      <c r="T264" s="4">
        <f>IFERROR(Table1[[#This Row],[Revenue]]/Table1[[#This Row],[Orders]],0)</f>
        <v>4981</v>
      </c>
      <c r="U264" s="4">
        <f>Table1[[#This Row],[Market_Budget]]/Table1[[#This Row],[Clicks]]</f>
        <v>14.151003344481605</v>
      </c>
      <c r="V264" s="4">
        <f>IFERROR(Table1[[#This Row],[Market_Budget]]/Table1[[#This Row],[Leads]],0)</f>
        <v>705.19166666666672</v>
      </c>
      <c r="W264" s="4">
        <f>IFERROR(Table1[[#This Row],[Market_Budget]]/Table1[[#This Row],[Orders]],0)</f>
        <v>4701.2777777777774</v>
      </c>
      <c r="X264" s="15">
        <f>(Table1[[#This Row],[Revenue]]-Table1[[#This Row],[Market_Budget]])/Table1[[#This Row],[Market_Budget]]</f>
        <v>5.9499190527397987E-2</v>
      </c>
      <c r="Y264" s="5">
        <f>Table1[[#This Row],[Revenue]]-Table1[[#This Row],[Market_Budget]]</f>
        <v>2517.5</v>
      </c>
    </row>
    <row r="265" spans="1:25" x14ac:dyDescent="0.35">
      <c r="A265">
        <v>39889</v>
      </c>
      <c r="B265" s="1">
        <v>44251</v>
      </c>
      <c r="C265" s="1" t="str">
        <f>TEXT(Table1[[#This Row],[Date]],"dddd")</f>
        <v>Wednesday</v>
      </c>
      <c r="D265" s="1" t="str">
        <f>IF(WEEKDAY(Table1[[#This Row],[Date]],2)&gt;5,"Weekend","Weekday")</f>
        <v>Weekday</v>
      </c>
      <c r="E265" t="s">
        <v>46</v>
      </c>
      <c r="F265" t="str">
        <f>_xlfn.TEXTAFTER(Table1[[#This Row],[Campaign_Name]],"_")</f>
        <v>Partner</v>
      </c>
      <c r="G265" t="str">
        <f>IF(ISNUMBER(SEARCH("Tier1",Table1[[#This Row],[Campaign_Name]])),"Tier1",IF(ISNUMBER(SEARCH("Tier2",Table1[[#This Row],[Campaign_Name]])),"Tier2","Not Applicable"))</f>
        <v>Not Applicable</v>
      </c>
      <c r="H265" t="s">
        <v>62</v>
      </c>
      <c r="I265" s="3">
        <v>34169.9</v>
      </c>
      <c r="J265" s="7">
        <v>2770687</v>
      </c>
      <c r="K265" s="7">
        <v>4205</v>
      </c>
      <c r="L265" s="7">
        <v>84</v>
      </c>
      <c r="M265" s="7">
        <v>16</v>
      </c>
      <c r="N265" s="2">
        <v>63696</v>
      </c>
      <c r="O265" s="6">
        <f>Table1[[#This Row],[Clicks]]/Table1[[#This Row],[Impressions]]</f>
        <v>1.5176741364145427E-3</v>
      </c>
      <c r="P265" s="6">
        <f>Table1[[#This Row],[Leads]]/Table1[[#This Row],[Clicks]]</f>
        <v>1.9976218787158145E-2</v>
      </c>
      <c r="Q265" s="6" t="str">
        <f>IF(Table1[[#This Row],[Conversion1]]&gt;=2%,"High","Low")</f>
        <v>Low</v>
      </c>
      <c r="R265" s="6">
        <f>IFERROR(Table1[[#This Row],[Orders]]/Table1[[#This Row],[Leads]],0)</f>
        <v>0.19047619047619047</v>
      </c>
      <c r="S265" s="6" t="str">
        <f>IF(Table1[[#This Row],[Conversion2]]&gt;=15%,"High","Low")</f>
        <v>High</v>
      </c>
      <c r="T265" s="4">
        <f>IFERROR(Table1[[#This Row],[Revenue]]/Table1[[#This Row],[Orders]],0)</f>
        <v>3981</v>
      </c>
      <c r="U265" s="4">
        <f>Table1[[#This Row],[Market_Budget]]/Table1[[#This Row],[Clicks]]</f>
        <v>8.1260166468489903</v>
      </c>
      <c r="V265" s="4">
        <f>IFERROR(Table1[[#This Row],[Market_Budget]]/Table1[[#This Row],[Leads]],0)</f>
        <v>406.78452380952382</v>
      </c>
      <c r="W265" s="4">
        <f>IFERROR(Table1[[#This Row],[Market_Budget]]/Table1[[#This Row],[Orders]],0)</f>
        <v>2135.6187500000001</v>
      </c>
      <c r="X265" s="15">
        <f>(Table1[[#This Row],[Revenue]]-Table1[[#This Row],[Market_Budget]])/Table1[[#This Row],[Market_Budget]]</f>
        <v>0.86409676352579312</v>
      </c>
      <c r="Y265" s="5">
        <f>Table1[[#This Row],[Revenue]]-Table1[[#This Row],[Market_Budget]]</f>
        <v>29526.1</v>
      </c>
    </row>
    <row r="266" spans="1:25" x14ac:dyDescent="0.35">
      <c r="A266">
        <v>349043</v>
      </c>
      <c r="B266" s="1">
        <v>44252</v>
      </c>
      <c r="C266" s="1" t="str">
        <f>TEXT(Table1[[#This Row],[Date]],"dddd")</f>
        <v>Thursday</v>
      </c>
      <c r="D266" s="1" t="str">
        <f>IF(WEEKDAY(Table1[[#This Row],[Date]],2)&gt;5,"Weekend","Weekday")</f>
        <v>Weekday</v>
      </c>
      <c r="E266" t="s">
        <v>36</v>
      </c>
      <c r="F266" t="str">
        <f>_xlfn.TEXTAFTER(Table1[[#This Row],[Campaign_Name]],"_")</f>
        <v>Tier1</v>
      </c>
      <c r="G266" t="str">
        <f>IF(ISNUMBER(SEARCH("Tier1",Table1[[#This Row],[Campaign_Name]])),"Tier1",IF(ISNUMBER(SEARCH("Tier2",Table1[[#This Row],[Campaign_Name]])),"Tier2","Not Applicable"))</f>
        <v>Tier1</v>
      </c>
      <c r="H266" t="s">
        <v>61</v>
      </c>
      <c r="I266" s="3">
        <v>11230.2</v>
      </c>
      <c r="J266" s="7">
        <v>94600</v>
      </c>
      <c r="K266" s="7">
        <v>473</v>
      </c>
      <c r="L266" s="7">
        <v>15</v>
      </c>
      <c r="M266" s="7">
        <v>2</v>
      </c>
      <c r="N266" s="2">
        <v>10104</v>
      </c>
      <c r="O266" s="6">
        <f>Table1[[#This Row],[Clicks]]/Table1[[#This Row],[Impressions]]</f>
        <v>5.0000000000000001E-3</v>
      </c>
      <c r="P266" s="6">
        <f>Table1[[#This Row],[Leads]]/Table1[[#This Row],[Clicks]]</f>
        <v>3.1712473572938688E-2</v>
      </c>
      <c r="Q266" s="6" t="str">
        <f>IF(Table1[[#This Row],[Conversion1]]&gt;=2%,"High","Low")</f>
        <v>High</v>
      </c>
      <c r="R266" s="6">
        <f>IFERROR(Table1[[#This Row],[Orders]]/Table1[[#This Row],[Leads]],0)</f>
        <v>0.13333333333333333</v>
      </c>
      <c r="S266" s="6" t="str">
        <f>IF(Table1[[#This Row],[Conversion2]]&gt;=15%,"High","Low")</f>
        <v>Low</v>
      </c>
      <c r="T266" s="4">
        <f>IFERROR(Table1[[#This Row],[Revenue]]/Table1[[#This Row],[Orders]],0)</f>
        <v>5052</v>
      </c>
      <c r="U266" s="4">
        <f>Table1[[#This Row],[Market_Budget]]/Table1[[#This Row],[Clicks]]</f>
        <v>23.742494714587739</v>
      </c>
      <c r="V266" s="4">
        <f>IFERROR(Table1[[#This Row],[Market_Budget]]/Table1[[#This Row],[Leads]],0)</f>
        <v>748.68000000000006</v>
      </c>
      <c r="W266" s="4">
        <f>IFERROR(Table1[[#This Row],[Market_Budget]]/Table1[[#This Row],[Orders]],0)</f>
        <v>5615.1</v>
      </c>
      <c r="X266" s="15">
        <f>(Table1[[#This Row],[Revenue]]-Table1[[#This Row],[Market_Budget]])/Table1[[#This Row],[Market_Budget]]</f>
        <v>-0.10028316503713208</v>
      </c>
      <c r="Y266" s="5">
        <f>Table1[[#This Row],[Revenue]]-Table1[[#This Row],[Market_Budget]]</f>
        <v>-1126.2000000000007</v>
      </c>
    </row>
    <row r="267" spans="1:25" x14ac:dyDescent="0.35">
      <c r="A267">
        <v>348934</v>
      </c>
      <c r="B267" s="1">
        <v>44252</v>
      </c>
      <c r="C267" s="1" t="str">
        <f>TEXT(Table1[[#This Row],[Date]],"dddd")</f>
        <v>Thursday</v>
      </c>
      <c r="D267" s="1" t="str">
        <f>IF(WEEKDAY(Table1[[#This Row],[Date]],2)&gt;5,"Weekend","Weekday")</f>
        <v>Weekday</v>
      </c>
      <c r="E267" t="s">
        <v>37</v>
      </c>
      <c r="F267" t="str">
        <f>_xlfn.TEXTAFTER(Table1[[#This Row],[Campaign_Name]],"_")</f>
        <v>Tier2</v>
      </c>
      <c r="G267" t="str">
        <f>IF(ISNUMBER(SEARCH("Tier1",Table1[[#This Row],[Campaign_Name]])),"Tier1",IF(ISNUMBER(SEARCH("Tier2",Table1[[#This Row],[Campaign_Name]])),"Tier2","Not Applicable"))</f>
        <v>Tier2</v>
      </c>
      <c r="H267" t="s">
        <v>61</v>
      </c>
      <c r="I267" s="3">
        <v>10357</v>
      </c>
      <c r="J267" s="7">
        <v>131400</v>
      </c>
      <c r="K267" s="7">
        <v>657</v>
      </c>
      <c r="L267" s="7">
        <v>13</v>
      </c>
      <c r="M267" s="7">
        <v>2</v>
      </c>
      <c r="N267" s="2">
        <v>9962</v>
      </c>
      <c r="O267" s="6">
        <f>Table1[[#This Row],[Clicks]]/Table1[[#This Row],[Impressions]]</f>
        <v>5.0000000000000001E-3</v>
      </c>
      <c r="P267" s="6">
        <f>Table1[[#This Row],[Leads]]/Table1[[#This Row],[Clicks]]</f>
        <v>1.9786910197869101E-2</v>
      </c>
      <c r="Q267" s="6" t="str">
        <f>IF(Table1[[#This Row],[Conversion1]]&gt;=2%,"High","Low")</f>
        <v>Low</v>
      </c>
      <c r="R267" s="6">
        <f>IFERROR(Table1[[#This Row],[Orders]]/Table1[[#This Row],[Leads]],0)</f>
        <v>0.15384615384615385</v>
      </c>
      <c r="S267" s="6" t="str">
        <f>IF(Table1[[#This Row],[Conversion2]]&gt;=15%,"High","Low")</f>
        <v>High</v>
      </c>
      <c r="T267" s="4">
        <f>IFERROR(Table1[[#This Row],[Revenue]]/Table1[[#This Row],[Orders]],0)</f>
        <v>4981</v>
      </c>
      <c r="U267" s="4">
        <f>Table1[[#This Row],[Market_Budget]]/Table1[[#This Row],[Clicks]]</f>
        <v>15.764079147640791</v>
      </c>
      <c r="V267" s="4">
        <f>IFERROR(Table1[[#This Row],[Market_Budget]]/Table1[[#This Row],[Leads]],0)</f>
        <v>796.69230769230774</v>
      </c>
      <c r="W267" s="4">
        <f>IFERROR(Table1[[#This Row],[Market_Budget]]/Table1[[#This Row],[Orders]],0)</f>
        <v>5178.5</v>
      </c>
      <c r="X267" s="15">
        <f>(Table1[[#This Row],[Revenue]]-Table1[[#This Row],[Market_Budget]])/Table1[[#This Row],[Market_Budget]]</f>
        <v>-3.8138457082166649E-2</v>
      </c>
      <c r="Y267" s="5">
        <f>Table1[[#This Row],[Revenue]]-Table1[[#This Row],[Market_Budget]]</f>
        <v>-395</v>
      </c>
    </row>
    <row r="268" spans="1:25" x14ac:dyDescent="0.35">
      <c r="A268">
        <v>89459845</v>
      </c>
      <c r="B268" s="1">
        <v>44252</v>
      </c>
      <c r="C268" s="1" t="str">
        <f>TEXT(Table1[[#This Row],[Date]],"dddd")</f>
        <v>Thursday</v>
      </c>
      <c r="D268" s="1" t="str">
        <f>IF(WEEKDAY(Table1[[#This Row],[Date]],2)&gt;5,"Weekend","Weekday")</f>
        <v>Weekday</v>
      </c>
      <c r="E268" t="s">
        <v>38</v>
      </c>
      <c r="F268" t="str">
        <f>_xlfn.TEXTAFTER(Table1[[#This Row],[Campaign_Name]],"_")</f>
        <v>Hot</v>
      </c>
      <c r="G268" t="str">
        <f>IF(ISNUMBER(SEARCH("Tier1",Table1[[#This Row],[Campaign_Name]])),"Tier1",IF(ISNUMBER(SEARCH("Tier2",Table1[[#This Row],[Campaign_Name]])),"Tier2","Not Applicable"))</f>
        <v>Not Applicable</v>
      </c>
      <c r="H268" t="s">
        <v>47</v>
      </c>
      <c r="I268" s="3">
        <v>1078.73</v>
      </c>
      <c r="J268" s="7">
        <v>8750</v>
      </c>
      <c r="K268" s="7">
        <v>175</v>
      </c>
      <c r="L268" s="7">
        <v>1</v>
      </c>
      <c r="M268" s="7">
        <v>0</v>
      </c>
      <c r="N268" s="2">
        <v>0</v>
      </c>
      <c r="O268" s="6">
        <f>Table1[[#This Row],[Clicks]]/Table1[[#This Row],[Impressions]]</f>
        <v>0.02</v>
      </c>
      <c r="P268" s="6">
        <f>Table1[[#This Row],[Leads]]/Table1[[#This Row],[Clicks]]</f>
        <v>5.7142857142857143E-3</v>
      </c>
      <c r="Q268" s="6" t="str">
        <f>IF(Table1[[#This Row],[Conversion1]]&gt;=2%,"High","Low")</f>
        <v>Low</v>
      </c>
      <c r="R268" s="6">
        <f>IFERROR(Table1[[#This Row],[Orders]]/Table1[[#This Row],[Leads]],0)</f>
        <v>0</v>
      </c>
      <c r="S268" s="6" t="str">
        <f>IF(Table1[[#This Row],[Conversion2]]&gt;=15%,"High","Low")</f>
        <v>Low</v>
      </c>
      <c r="T268" s="4">
        <f>IFERROR(Table1[[#This Row],[Revenue]]/Table1[[#This Row],[Orders]],0)</f>
        <v>0</v>
      </c>
      <c r="U268" s="4">
        <f>Table1[[#This Row],[Market_Budget]]/Table1[[#This Row],[Clicks]]</f>
        <v>6.1641714285714286</v>
      </c>
      <c r="V268" s="4">
        <f>IFERROR(Table1[[#This Row],[Market_Budget]]/Table1[[#This Row],[Leads]],0)</f>
        <v>1078.73</v>
      </c>
      <c r="W268" s="4">
        <f>IFERROR(Table1[[#This Row],[Market_Budget]]/Table1[[#This Row],[Orders]],0)</f>
        <v>0</v>
      </c>
      <c r="X268" s="15">
        <f>(Table1[[#This Row],[Revenue]]-Table1[[#This Row],[Market_Budget]])/Table1[[#This Row],[Market_Budget]]</f>
        <v>-1</v>
      </c>
      <c r="Y268" s="5">
        <f>Table1[[#This Row],[Revenue]]-Table1[[#This Row],[Market_Budget]]</f>
        <v>-1078.73</v>
      </c>
    </row>
    <row r="269" spans="1:25" x14ac:dyDescent="0.35">
      <c r="A269">
        <v>127823</v>
      </c>
      <c r="B269" s="1">
        <v>44252</v>
      </c>
      <c r="C269" s="1" t="str">
        <f>TEXT(Table1[[#This Row],[Date]],"dddd")</f>
        <v>Thursday</v>
      </c>
      <c r="D269" s="1" t="str">
        <f>IF(WEEKDAY(Table1[[#This Row],[Date]],2)&gt;5,"Weekend","Weekday")</f>
        <v>Weekday</v>
      </c>
      <c r="E269" t="s">
        <v>39</v>
      </c>
      <c r="F269" t="str">
        <f>_xlfn.TEXTAFTER(Table1[[#This Row],[Campaign_Name]],"_")</f>
        <v>Wide</v>
      </c>
      <c r="G269" t="str">
        <f>IF(ISNUMBER(SEARCH("Tier1",Table1[[#This Row],[Campaign_Name]])),"Tier1",IF(ISNUMBER(SEARCH("Tier2",Table1[[#This Row],[Campaign_Name]])),"Tier2","Not Applicable"))</f>
        <v>Not Applicable</v>
      </c>
      <c r="H269" t="s">
        <v>47</v>
      </c>
      <c r="I269" s="3">
        <v>9472.2199999999993</v>
      </c>
      <c r="J269" s="7">
        <v>61867</v>
      </c>
      <c r="K269" s="7">
        <v>487</v>
      </c>
      <c r="L269" s="7">
        <v>19</v>
      </c>
      <c r="M269" s="7">
        <v>2</v>
      </c>
      <c r="N269" s="2">
        <v>5730</v>
      </c>
      <c r="O269" s="6">
        <f>Table1[[#This Row],[Clicks]]/Table1[[#This Row],[Impressions]]</f>
        <v>7.8717248290688085E-3</v>
      </c>
      <c r="P269" s="6">
        <f>Table1[[#This Row],[Leads]]/Table1[[#This Row],[Clicks]]</f>
        <v>3.9014373716632446E-2</v>
      </c>
      <c r="Q269" s="6" t="str">
        <f>IF(Table1[[#This Row],[Conversion1]]&gt;=2%,"High","Low")</f>
        <v>High</v>
      </c>
      <c r="R269" s="6">
        <f>IFERROR(Table1[[#This Row],[Orders]]/Table1[[#This Row],[Leads]],0)</f>
        <v>0.10526315789473684</v>
      </c>
      <c r="S269" s="6" t="str">
        <f>IF(Table1[[#This Row],[Conversion2]]&gt;=15%,"High","Low")</f>
        <v>Low</v>
      </c>
      <c r="T269" s="4">
        <f>IFERROR(Table1[[#This Row],[Revenue]]/Table1[[#This Row],[Orders]],0)</f>
        <v>2865</v>
      </c>
      <c r="U269" s="4">
        <f>Table1[[#This Row],[Market_Budget]]/Table1[[#This Row],[Clicks]]</f>
        <v>19.450143737166322</v>
      </c>
      <c r="V269" s="4">
        <f>IFERROR(Table1[[#This Row],[Market_Budget]]/Table1[[#This Row],[Leads]],0)</f>
        <v>498.53789473684208</v>
      </c>
      <c r="W269" s="4">
        <f>IFERROR(Table1[[#This Row],[Market_Budget]]/Table1[[#This Row],[Orders]],0)</f>
        <v>4736.1099999999997</v>
      </c>
      <c r="X269" s="15">
        <f>(Table1[[#This Row],[Revenue]]-Table1[[#This Row],[Market_Budget]])/Table1[[#This Row],[Market_Budget]]</f>
        <v>-0.39507317186467372</v>
      </c>
      <c r="Y269" s="5">
        <f>Table1[[#This Row],[Revenue]]-Table1[[#This Row],[Market_Budget]]</f>
        <v>-3742.2199999999993</v>
      </c>
    </row>
    <row r="270" spans="1:25" x14ac:dyDescent="0.35">
      <c r="A270">
        <v>10934</v>
      </c>
      <c r="B270" s="1">
        <v>44252</v>
      </c>
      <c r="C270" s="1" t="str">
        <f>TEXT(Table1[[#This Row],[Date]],"dddd")</f>
        <v>Thursday</v>
      </c>
      <c r="D270" s="1" t="str">
        <f>IF(WEEKDAY(Table1[[#This Row],[Date]],2)&gt;5,"Weekend","Weekday")</f>
        <v>Weekday</v>
      </c>
      <c r="E270" t="s">
        <v>40</v>
      </c>
      <c r="F270" t="str">
        <f>_xlfn.TEXTAFTER(Table1[[#This Row],[Campaign_Name]],"_")</f>
        <v>Blogger</v>
      </c>
      <c r="G270" t="str">
        <f>IF(ISNUMBER(SEARCH("Tier1",Table1[[#This Row],[Campaign_Name]])),"Tier1",IF(ISNUMBER(SEARCH("Tier2",Table1[[#This Row],[Campaign_Name]])),"Tier2","Not Applicable"))</f>
        <v>Not Applicable</v>
      </c>
      <c r="H270" t="s">
        <v>48</v>
      </c>
      <c r="I270" s="3">
        <v>9034.91</v>
      </c>
      <c r="J270" s="7">
        <v>94976</v>
      </c>
      <c r="K270" s="7">
        <v>904</v>
      </c>
      <c r="L270" s="7">
        <v>22</v>
      </c>
      <c r="M270" s="7">
        <v>5</v>
      </c>
      <c r="N270" s="2">
        <v>38030</v>
      </c>
      <c r="O270" s="6">
        <f>Table1[[#This Row],[Clicks]]/Table1[[#This Row],[Impressions]]</f>
        <v>9.5181940700808619E-3</v>
      </c>
      <c r="P270" s="6">
        <f>Table1[[#This Row],[Leads]]/Table1[[#This Row],[Clicks]]</f>
        <v>2.4336283185840708E-2</v>
      </c>
      <c r="Q270" s="6" t="str">
        <f>IF(Table1[[#This Row],[Conversion1]]&gt;=2%,"High","Low")</f>
        <v>High</v>
      </c>
      <c r="R270" s="6">
        <f>IFERROR(Table1[[#This Row],[Orders]]/Table1[[#This Row],[Leads]],0)</f>
        <v>0.22727272727272727</v>
      </c>
      <c r="S270" s="6" t="str">
        <f>IF(Table1[[#This Row],[Conversion2]]&gt;=15%,"High","Low")</f>
        <v>High</v>
      </c>
      <c r="T270" s="4">
        <f>IFERROR(Table1[[#This Row],[Revenue]]/Table1[[#This Row],[Orders]],0)</f>
        <v>7606</v>
      </c>
      <c r="U270" s="4">
        <f>Table1[[#This Row],[Market_Budget]]/Table1[[#This Row],[Clicks]]</f>
        <v>9.9943694690265481</v>
      </c>
      <c r="V270" s="4">
        <f>IFERROR(Table1[[#This Row],[Market_Budget]]/Table1[[#This Row],[Leads]],0)</f>
        <v>410.67772727272728</v>
      </c>
      <c r="W270" s="4">
        <f>IFERROR(Table1[[#This Row],[Market_Budget]]/Table1[[#This Row],[Orders]],0)</f>
        <v>1806.982</v>
      </c>
      <c r="X270" s="15">
        <f>(Table1[[#This Row],[Revenue]]-Table1[[#This Row],[Market_Budget]])/Table1[[#This Row],[Market_Budget]]</f>
        <v>3.2092284261824413</v>
      </c>
      <c r="Y270" s="5">
        <f>Table1[[#This Row],[Revenue]]-Table1[[#This Row],[Market_Budget]]</f>
        <v>28995.09</v>
      </c>
    </row>
    <row r="271" spans="1:25" x14ac:dyDescent="0.35">
      <c r="A271">
        <v>9034945</v>
      </c>
      <c r="B271" s="1">
        <v>44252</v>
      </c>
      <c r="C271" s="1" t="str">
        <f>TEXT(Table1[[#This Row],[Date]],"dddd")</f>
        <v>Thursday</v>
      </c>
      <c r="D271" s="1" t="str">
        <f>IF(WEEKDAY(Table1[[#This Row],[Date]],2)&gt;5,"Weekend","Weekday")</f>
        <v>Weekday</v>
      </c>
      <c r="E271" t="s">
        <v>41</v>
      </c>
      <c r="F271" t="str">
        <f>_xlfn.TEXTAFTER(Table1[[#This Row],[Campaign_Name]],"_")</f>
        <v>Tier1</v>
      </c>
      <c r="G271" t="str">
        <f>IF(ISNUMBER(SEARCH("Tier1",Table1[[#This Row],[Campaign_Name]])),"Tier1",IF(ISNUMBER(SEARCH("Tier2",Table1[[#This Row],[Campaign_Name]])),"Tier2","Not Applicable"))</f>
        <v>Tier1</v>
      </c>
      <c r="H271" t="s">
        <v>61</v>
      </c>
      <c r="I271" s="3">
        <v>2304.0100000000002</v>
      </c>
      <c r="J271" s="7">
        <v>106000</v>
      </c>
      <c r="K271" s="7">
        <v>530</v>
      </c>
      <c r="L271" s="7">
        <v>6</v>
      </c>
      <c r="M271" s="7">
        <v>1</v>
      </c>
      <c r="N271" s="2">
        <v>5981</v>
      </c>
      <c r="O271" s="6">
        <f>Table1[[#This Row],[Clicks]]/Table1[[#This Row],[Impressions]]</f>
        <v>5.0000000000000001E-3</v>
      </c>
      <c r="P271" s="6">
        <f>Table1[[#This Row],[Leads]]/Table1[[#This Row],[Clicks]]</f>
        <v>1.1320754716981131E-2</v>
      </c>
      <c r="Q271" s="6" t="str">
        <f>IF(Table1[[#This Row],[Conversion1]]&gt;=2%,"High","Low")</f>
        <v>Low</v>
      </c>
      <c r="R271" s="6">
        <f>IFERROR(Table1[[#This Row],[Orders]]/Table1[[#This Row],[Leads]],0)</f>
        <v>0.16666666666666666</v>
      </c>
      <c r="S271" s="6" t="str">
        <f>IF(Table1[[#This Row],[Conversion2]]&gt;=15%,"High","Low")</f>
        <v>High</v>
      </c>
      <c r="T271" s="4">
        <f>IFERROR(Table1[[#This Row],[Revenue]]/Table1[[#This Row],[Orders]],0)</f>
        <v>5981</v>
      </c>
      <c r="U271" s="4">
        <f>Table1[[#This Row],[Market_Budget]]/Table1[[#This Row],[Clicks]]</f>
        <v>4.3471886792452832</v>
      </c>
      <c r="V271" s="4">
        <f>IFERROR(Table1[[#This Row],[Market_Budget]]/Table1[[#This Row],[Leads]],0)</f>
        <v>384.00166666666672</v>
      </c>
      <c r="W271" s="4">
        <f>IFERROR(Table1[[#This Row],[Market_Budget]]/Table1[[#This Row],[Orders]],0)</f>
        <v>2304.0100000000002</v>
      </c>
      <c r="X271" s="15">
        <f>(Table1[[#This Row],[Revenue]]-Table1[[#This Row],[Market_Budget]])/Table1[[#This Row],[Market_Budget]]</f>
        <v>1.5959088719232988</v>
      </c>
      <c r="Y271" s="5">
        <f>Table1[[#This Row],[Revenue]]-Table1[[#This Row],[Market_Budget]]</f>
        <v>3676.99</v>
      </c>
    </row>
    <row r="272" spans="1:25" x14ac:dyDescent="0.35">
      <c r="A272">
        <v>983498</v>
      </c>
      <c r="B272" s="1">
        <v>44252</v>
      </c>
      <c r="C272" s="1" t="str">
        <f>TEXT(Table1[[#This Row],[Date]],"dddd")</f>
        <v>Thursday</v>
      </c>
      <c r="D272" s="1" t="str">
        <f>IF(WEEKDAY(Table1[[#This Row],[Date]],2)&gt;5,"Weekend","Weekday")</f>
        <v>Weekday</v>
      </c>
      <c r="E272" t="s">
        <v>42</v>
      </c>
      <c r="F272" t="str">
        <f>_xlfn.TEXTAFTER(Table1[[#This Row],[Campaign_Name]],"_")</f>
        <v>Tier2</v>
      </c>
      <c r="G272" t="str">
        <f>IF(ISNUMBER(SEARCH("Tier1",Table1[[#This Row],[Campaign_Name]])),"Tier1",IF(ISNUMBER(SEARCH("Tier2",Table1[[#This Row],[Campaign_Name]])),"Tier2","Not Applicable"))</f>
        <v>Tier2</v>
      </c>
      <c r="H272" t="s">
        <v>61</v>
      </c>
      <c r="I272" s="3">
        <v>2059.0300000000002</v>
      </c>
      <c r="J272" s="7">
        <v>115468</v>
      </c>
      <c r="K272" s="7">
        <v>1015</v>
      </c>
      <c r="L272" s="7">
        <v>20</v>
      </c>
      <c r="M272" s="7">
        <v>1</v>
      </c>
      <c r="N272" s="2">
        <v>1981</v>
      </c>
      <c r="O272" s="6">
        <f>Table1[[#This Row],[Clicks]]/Table1[[#This Row],[Impressions]]</f>
        <v>8.7903141996050847E-3</v>
      </c>
      <c r="P272" s="6">
        <f>Table1[[#This Row],[Leads]]/Table1[[#This Row],[Clicks]]</f>
        <v>1.9704433497536946E-2</v>
      </c>
      <c r="Q272" s="6" t="str">
        <f>IF(Table1[[#This Row],[Conversion1]]&gt;=2%,"High","Low")</f>
        <v>Low</v>
      </c>
      <c r="R272" s="6">
        <f>IFERROR(Table1[[#This Row],[Orders]]/Table1[[#This Row],[Leads]],0)</f>
        <v>0.05</v>
      </c>
      <c r="S272" s="6" t="str">
        <f>IF(Table1[[#This Row],[Conversion2]]&gt;=15%,"High","Low")</f>
        <v>Low</v>
      </c>
      <c r="T272" s="4">
        <f>IFERROR(Table1[[#This Row],[Revenue]]/Table1[[#This Row],[Orders]],0)</f>
        <v>1981</v>
      </c>
      <c r="U272" s="4">
        <f>Table1[[#This Row],[Market_Budget]]/Table1[[#This Row],[Clicks]]</f>
        <v>2.0286009852216749</v>
      </c>
      <c r="V272" s="4">
        <f>IFERROR(Table1[[#This Row],[Market_Budget]]/Table1[[#This Row],[Leads]],0)</f>
        <v>102.95150000000001</v>
      </c>
      <c r="W272" s="4">
        <f>IFERROR(Table1[[#This Row],[Market_Budget]]/Table1[[#This Row],[Orders]],0)</f>
        <v>2059.0300000000002</v>
      </c>
      <c r="X272" s="15">
        <f>(Table1[[#This Row],[Revenue]]-Table1[[#This Row],[Market_Budget]])/Table1[[#This Row],[Market_Budget]]</f>
        <v>-3.7896485238194777E-2</v>
      </c>
      <c r="Y272" s="5">
        <f>Table1[[#This Row],[Revenue]]-Table1[[#This Row],[Market_Budget]]</f>
        <v>-78.0300000000002</v>
      </c>
    </row>
    <row r="273" spans="1:25" x14ac:dyDescent="0.35">
      <c r="A273">
        <v>4387490</v>
      </c>
      <c r="B273" s="1">
        <v>44252</v>
      </c>
      <c r="C273" s="1" t="str">
        <f>TEXT(Table1[[#This Row],[Date]],"dddd")</f>
        <v>Thursday</v>
      </c>
      <c r="D273" s="1" t="str">
        <f>IF(WEEKDAY(Table1[[#This Row],[Date]],2)&gt;5,"Weekend","Weekday")</f>
        <v>Weekday</v>
      </c>
      <c r="E273" t="s">
        <v>43</v>
      </c>
      <c r="F273" t="str">
        <f>_xlfn.TEXTAFTER(Table1[[#This Row],[Campaign_Name]],"_")</f>
        <v>Retargeting</v>
      </c>
      <c r="G273" t="str">
        <f>IF(ISNUMBER(SEARCH("Tier1",Table1[[#This Row],[Campaign_Name]])),"Tier1",IF(ISNUMBER(SEARCH("Tier2",Table1[[#This Row],[Campaign_Name]])),"Tier2","Not Applicable"))</f>
        <v>Not Applicable</v>
      </c>
      <c r="H273" t="s">
        <v>61</v>
      </c>
      <c r="I273" s="3">
        <v>1487.47</v>
      </c>
      <c r="J273" s="7">
        <v>2214</v>
      </c>
      <c r="K273" s="7">
        <v>66</v>
      </c>
      <c r="L273" s="7">
        <v>3</v>
      </c>
      <c r="M273" s="7">
        <v>1</v>
      </c>
      <c r="N273" s="2">
        <v>4461</v>
      </c>
      <c r="O273" s="6">
        <f>Table1[[#This Row],[Clicks]]/Table1[[#This Row],[Impressions]]</f>
        <v>2.9810298102981029E-2</v>
      </c>
      <c r="P273" s="6">
        <f>Table1[[#This Row],[Leads]]/Table1[[#This Row],[Clicks]]</f>
        <v>4.5454545454545456E-2</v>
      </c>
      <c r="Q273" s="6" t="str">
        <f>IF(Table1[[#This Row],[Conversion1]]&gt;=2%,"High","Low")</f>
        <v>High</v>
      </c>
      <c r="R273" s="6">
        <f>IFERROR(Table1[[#This Row],[Orders]]/Table1[[#This Row],[Leads]],0)</f>
        <v>0.33333333333333331</v>
      </c>
      <c r="S273" s="6" t="str">
        <f>IF(Table1[[#This Row],[Conversion2]]&gt;=15%,"High","Low")</f>
        <v>High</v>
      </c>
      <c r="T273" s="4">
        <f>IFERROR(Table1[[#This Row],[Revenue]]/Table1[[#This Row],[Orders]],0)</f>
        <v>4461</v>
      </c>
      <c r="U273" s="4">
        <f>Table1[[#This Row],[Market_Budget]]/Table1[[#This Row],[Clicks]]</f>
        <v>22.537424242424244</v>
      </c>
      <c r="V273" s="4">
        <f>IFERROR(Table1[[#This Row],[Market_Budget]]/Table1[[#This Row],[Leads]],0)</f>
        <v>495.82333333333332</v>
      </c>
      <c r="W273" s="4">
        <f>IFERROR(Table1[[#This Row],[Market_Budget]]/Table1[[#This Row],[Orders]],0)</f>
        <v>1487.47</v>
      </c>
      <c r="X273" s="15">
        <f>(Table1[[#This Row],[Revenue]]-Table1[[#This Row],[Market_Budget]])/Table1[[#This Row],[Market_Budget]]</f>
        <v>1.9990520817226565</v>
      </c>
      <c r="Y273" s="5">
        <f>Table1[[#This Row],[Revenue]]-Table1[[#This Row],[Market_Budget]]</f>
        <v>2973.5299999999997</v>
      </c>
    </row>
    <row r="274" spans="1:25" x14ac:dyDescent="0.35">
      <c r="A274">
        <v>544756</v>
      </c>
      <c r="B274" s="1">
        <v>44252</v>
      </c>
      <c r="C274" s="1" t="str">
        <f>TEXT(Table1[[#This Row],[Date]],"dddd")</f>
        <v>Thursday</v>
      </c>
      <c r="D274" s="1" t="str">
        <f>IF(WEEKDAY(Table1[[#This Row],[Date]],2)&gt;5,"Weekend","Weekday")</f>
        <v>Weekday</v>
      </c>
      <c r="E274" t="s">
        <v>44</v>
      </c>
      <c r="F274" t="str">
        <f>_xlfn.TEXTAFTER(Table1[[#This Row],[Campaign_Name]],"_")</f>
        <v>Lal</v>
      </c>
      <c r="G274" t="str">
        <f>IF(ISNUMBER(SEARCH("Tier1",Table1[[#This Row],[Campaign_Name]])),"Tier1",IF(ISNUMBER(SEARCH("Tier2",Table1[[#This Row],[Campaign_Name]])),"Tier2","Not Applicable"))</f>
        <v>Not Applicable</v>
      </c>
      <c r="H274" t="s">
        <v>61</v>
      </c>
      <c r="I274" s="3">
        <v>5871.29</v>
      </c>
      <c r="J274" s="7">
        <v>25000</v>
      </c>
      <c r="K274" s="7">
        <v>250</v>
      </c>
      <c r="L274" s="7">
        <v>5</v>
      </c>
      <c r="M274" s="7">
        <v>1</v>
      </c>
      <c r="N274" s="2">
        <v>981</v>
      </c>
      <c r="O274" s="6">
        <f>Table1[[#This Row],[Clicks]]/Table1[[#This Row],[Impressions]]</f>
        <v>0.01</v>
      </c>
      <c r="P274" s="6">
        <f>Table1[[#This Row],[Leads]]/Table1[[#This Row],[Clicks]]</f>
        <v>0.02</v>
      </c>
      <c r="Q274" s="6" t="str">
        <f>IF(Table1[[#This Row],[Conversion1]]&gt;=2%,"High","Low")</f>
        <v>High</v>
      </c>
      <c r="R274" s="6">
        <f>IFERROR(Table1[[#This Row],[Orders]]/Table1[[#This Row],[Leads]],0)</f>
        <v>0.2</v>
      </c>
      <c r="S274" s="6" t="str">
        <f>IF(Table1[[#This Row],[Conversion2]]&gt;=15%,"High","Low")</f>
        <v>High</v>
      </c>
      <c r="T274" s="4">
        <f>IFERROR(Table1[[#This Row],[Revenue]]/Table1[[#This Row],[Orders]],0)</f>
        <v>981</v>
      </c>
      <c r="U274" s="4">
        <f>Table1[[#This Row],[Market_Budget]]/Table1[[#This Row],[Clicks]]</f>
        <v>23.48516</v>
      </c>
      <c r="V274" s="4">
        <f>IFERROR(Table1[[#This Row],[Market_Budget]]/Table1[[#This Row],[Leads]],0)</f>
        <v>1174.258</v>
      </c>
      <c r="W274" s="4">
        <f>IFERROR(Table1[[#This Row],[Market_Budget]]/Table1[[#This Row],[Orders]],0)</f>
        <v>5871.29</v>
      </c>
      <c r="X274" s="15">
        <f>(Table1[[#This Row],[Revenue]]-Table1[[#This Row],[Market_Budget]])/Table1[[#This Row],[Market_Budget]]</f>
        <v>-0.83291576467863115</v>
      </c>
      <c r="Y274" s="5">
        <f>Table1[[#This Row],[Revenue]]-Table1[[#This Row],[Market_Budget]]</f>
        <v>-4890.29</v>
      </c>
    </row>
    <row r="275" spans="1:25" x14ac:dyDescent="0.35">
      <c r="A275">
        <v>374754</v>
      </c>
      <c r="B275" s="1">
        <v>44252</v>
      </c>
      <c r="C275" s="1" t="str">
        <f>TEXT(Table1[[#This Row],[Date]],"dddd")</f>
        <v>Thursday</v>
      </c>
      <c r="D275" s="1" t="str">
        <f>IF(WEEKDAY(Table1[[#This Row],[Date]],2)&gt;5,"Weekend","Weekday")</f>
        <v>Weekday</v>
      </c>
      <c r="E275" t="s">
        <v>45</v>
      </c>
      <c r="F275" t="str">
        <f>_xlfn.TEXTAFTER(Table1[[#This Row],[Campaign_Name]],"_")</f>
        <v>Blogger</v>
      </c>
      <c r="G275" t="str">
        <f>IF(ISNUMBER(SEARCH("Tier1",Table1[[#This Row],[Campaign_Name]])),"Tier1",IF(ISNUMBER(SEARCH("Tier2",Table1[[#This Row],[Campaign_Name]])),"Tier2","Not Applicable"))</f>
        <v>Not Applicable</v>
      </c>
      <c r="H275" t="s">
        <v>48</v>
      </c>
      <c r="I275" s="3">
        <v>6227.53</v>
      </c>
      <c r="J275" s="7">
        <v>46753</v>
      </c>
      <c r="K275" s="7">
        <v>591</v>
      </c>
      <c r="L275" s="7">
        <v>12</v>
      </c>
      <c r="M275" s="7">
        <v>2</v>
      </c>
      <c r="N275" s="2">
        <v>10130</v>
      </c>
      <c r="O275" s="6">
        <f>Table1[[#This Row],[Clicks]]/Table1[[#This Row],[Impressions]]</f>
        <v>1.2640900049194704E-2</v>
      </c>
      <c r="P275" s="6">
        <f>Table1[[#This Row],[Leads]]/Table1[[#This Row],[Clicks]]</f>
        <v>2.030456852791878E-2</v>
      </c>
      <c r="Q275" s="6" t="str">
        <f>IF(Table1[[#This Row],[Conversion1]]&gt;=2%,"High","Low")</f>
        <v>High</v>
      </c>
      <c r="R275" s="6">
        <f>IFERROR(Table1[[#This Row],[Orders]]/Table1[[#This Row],[Leads]],0)</f>
        <v>0.16666666666666666</v>
      </c>
      <c r="S275" s="6" t="str">
        <f>IF(Table1[[#This Row],[Conversion2]]&gt;=15%,"High","Low")</f>
        <v>High</v>
      </c>
      <c r="T275" s="4">
        <f>IFERROR(Table1[[#This Row],[Revenue]]/Table1[[#This Row],[Orders]],0)</f>
        <v>5065</v>
      </c>
      <c r="U275" s="4">
        <f>Table1[[#This Row],[Market_Budget]]/Table1[[#This Row],[Clicks]]</f>
        <v>10.537275803722503</v>
      </c>
      <c r="V275" s="4">
        <f>IFERROR(Table1[[#This Row],[Market_Budget]]/Table1[[#This Row],[Leads]],0)</f>
        <v>518.96083333333331</v>
      </c>
      <c r="W275" s="4">
        <f>IFERROR(Table1[[#This Row],[Market_Budget]]/Table1[[#This Row],[Orders]],0)</f>
        <v>3113.7649999999999</v>
      </c>
      <c r="X275" s="15">
        <f>(Table1[[#This Row],[Revenue]]-Table1[[#This Row],[Market_Budget]])/Table1[[#This Row],[Market_Budget]]</f>
        <v>0.62664812534022318</v>
      </c>
      <c r="Y275" s="5">
        <f>Table1[[#This Row],[Revenue]]-Table1[[#This Row],[Market_Budget]]</f>
        <v>3902.4700000000003</v>
      </c>
    </row>
    <row r="276" spans="1:25" x14ac:dyDescent="0.35">
      <c r="A276">
        <v>39889</v>
      </c>
      <c r="B276" s="1">
        <v>44252</v>
      </c>
      <c r="C276" s="1" t="str">
        <f>TEXT(Table1[[#This Row],[Date]],"dddd")</f>
        <v>Thursday</v>
      </c>
      <c r="D276" s="1" t="str">
        <f>IF(WEEKDAY(Table1[[#This Row],[Date]],2)&gt;5,"Weekend","Weekday")</f>
        <v>Weekday</v>
      </c>
      <c r="E276" t="s">
        <v>46</v>
      </c>
      <c r="F276" t="str">
        <f>_xlfn.TEXTAFTER(Table1[[#This Row],[Campaign_Name]],"_")</f>
        <v>Partner</v>
      </c>
      <c r="G276" t="str">
        <f>IF(ISNUMBER(SEARCH("Tier1",Table1[[#This Row],[Campaign_Name]])),"Tier1",IF(ISNUMBER(SEARCH("Tier2",Table1[[#This Row],[Campaign_Name]])),"Tier2","Not Applicable"))</f>
        <v>Not Applicable</v>
      </c>
      <c r="H276" t="s">
        <v>62</v>
      </c>
      <c r="I276" s="3">
        <v>7583.66</v>
      </c>
      <c r="J276" s="7">
        <v>2885291</v>
      </c>
      <c r="K276" s="7">
        <v>848</v>
      </c>
      <c r="L276" s="7">
        <v>17</v>
      </c>
      <c r="M276" s="7">
        <v>3</v>
      </c>
      <c r="N276" s="2">
        <v>11943</v>
      </c>
      <c r="O276" s="6">
        <f>Table1[[#This Row],[Clicks]]/Table1[[#This Row],[Impressions]]</f>
        <v>2.9390449698141365E-4</v>
      </c>
      <c r="P276" s="6">
        <f>Table1[[#This Row],[Leads]]/Table1[[#This Row],[Clicks]]</f>
        <v>2.0047169811320754E-2</v>
      </c>
      <c r="Q276" s="6" t="str">
        <f>IF(Table1[[#This Row],[Conversion1]]&gt;=2%,"High","Low")</f>
        <v>High</v>
      </c>
      <c r="R276" s="6">
        <f>IFERROR(Table1[[#This Row],[Orders]]/Table1[[#This Row],[Leads]],0)</f>
        <v>0.17647058823529413</v>
      </c>
      <c r="S276" s="6" t="str">
        <f>IF(Table1[[#This Row],[Conversion2]]&gt;=15%,"High","Low")</f>
        <v>High</v>
      </c>
      <c r="T276" s="4">
        <f>IFERROR(Table1[[#This Row],[Revenue]]/Table1[[#This Row],[Orders]],0)</f>
        <v>3981</v>
      </c>
      <c r="U276" s="4">
        <f>Table1[[#This Row],[Market_Budget]]/Table1[[#This Row],[Clicks]]</f>
        <v>8.9429952830188686</v>
      </c>
      <c r="V276" s="4">
        <f>IFERROR(Table1[[#This Row],[Market_Budget]]/Table1[[#This Row],[Leads]],0)</f>
        <v>446.0976470588235</v>
      </c>
      <c r="W276" s="4">
        <f>IFERROR(Table1[[#This Row],[Market_Budget]]/Table1[[#This Row],[Orders]],0)</f>
        <v>2527.8866666666668</v>
      </c>
      <c r="X276" s="15">
        <f>(Table1[[#This Row],[Revenue]]-Table1[[#This Row],[Market_Budget]])/Table1[[#This Row],[Market_Budget]]</f>
        <v>0.57483325992990197</v>
      </c>
      <c r="Y276" s="5">
        <f>Table1[[#This Row],[Revenue]]-Table1[[#This Row],[Market_Budget]]</f>
        <v>4359.34</v>
      </c>
    </row>
    <row r="277" spans="1:25" x14ac:dyDescent="0.35">
      <c r="A277">
        <v>349043</v>
      </c>
      <c r="B277" s="1">
        <v>44253</v>
      </c>
      <c r="C277" s="1" t="str">
        <f>TEXT(Table1[[#This Row],[Date]],"dddd")</f>
        <v>Friday</v>
      </c>
      <c r="D277" s="1" t="str">
        <f>IF(WEEKDAY(Table1[[#This Row],[Date]],2)&gt;5,"Weekend","Weekday")</f>
        <v>Weekday</v>
      </c>
      <c r="E277" t="s">
        <v>36</v>
      </c>
      <c r="F277" t="str">
        <f>_xlfn.TEXTAFTER(Table1[[#This Row],[Campaign_Name]],"_")</f>
        <v>Tier1</v>
      </c>
      <c r="G277" t="str">
        <f>IF(ISNUMBER(SEARCH("Tier1",Table1[[#This Row],[Campaign_Name]])),"Tier1",IF(ISNUMBER(SEARCH("Tier2",Table1[[#This Row],[Campaign_Name]])),"Tier2","Not Applicable"))</f>
        <v>Tier1</v>
      </c>
      <c r="H277" t="s">
        <v>61</v>
      </c>
      <c r="I277" s="3">
        <v>19887.7</v>
      </c>
      <c r="J277" s="7">
        <v>168408</v>
      </c>
      <c r="K277" s="7">
        <v>1207</v>
      </c>
      <c r="L277" s="7">
        <v>39</v>
      </c>
      <c r="M277" s="7">
        <v>4</v>
      </c>
      <c r="N277" s="2">
        <v>22488</v>
      </c>
      <c r="O277" s="6">
        <f>Table1[[#This Row],[Clicks]]/Table1[[#This Row],[Impressions]]</f>
        <v>7.1671179516412525E-3</v>
      </c>
      <c r="P277" s="6">
        <f>Table1[[#This Row],[Leads]]/Table1[[#This Row],[Clicks]]</f>
        <v>3.2311516155758079E-2</v>
      </c>
      <c r="Q277" s="6" t="str">
        <f>IF(Table1[[#This Row],[Conversion1]]&gt;=2%,"High","Low")</f>
        <v>High</v>
      </c>
      <c r="R277" s="6">
        <f>IFERROR(Table1[[#This Row],[Orders]]/Table1[[#This Row],[Leads]],0)</f>
        <v>0.10256410256410256</v>
      </c>
      <c r="S277" s="6" t="str">
        <f>IF(Table1[[#This Row],[Conversion2]]&gt;=15%,"High","Low")</f>
        <v>Low</v>
      </c>
      <c r="T277" s="4">
        <f>IFERROR(Table1[[#This Row],[Revenue]]/Table1[[#This Row],[Orders]],0)</f>
        <v>5622</v>
      </c>
      <c r="U277" s="4">
        <f>Table1[[#This Row],[Market_Budget]]/Table1[[#This Row],[Clicks]]</f>
        <v>16.476967688483846</v>
      </c>
      <c r="V277" s="4">
        <f>IFERROR(Table1[[#This Row],[Market_Budget]]/Table1[[#This Row],[Leads]],0)</f>
        <v>509.94102564102565</v>
      </c>
      <c r="W277" s="4">
        <f>IFERROR(Table1[[#This Row],[Market_Budget]]/Table1[[#This Row],[Orders]],0)</f>
        <v>4971.9250000000002</v>
      </c>
      <c r="X277" s="15">
        <f>(Table1[[#This Row],[Revenue]]-Table1[[#This Row],[Market_Budget]])/Table1[[#This Row],[Market_Budget]]</f>
        <v>0.1307491565138251</v>
      </c>
      <c r="Y277" s="5">
        <f>Table1[[#This Row],[Revenue]]-Table1[[#This Row],[Market_Budget]]</f>
        <v>2600.2999999999993</v>
      </c>
    </row>
    <row r="278" spans="1:25" x14ac:dyDescent="0.35">
      <c r="A278">
        <v>348934</v>
      </c>
      <c r="B278" s="1">
        <v>44253</v>
      </c>
      <c r="C278" s="1" t="str">
        <f>TEXT(Table1[[#This Row],[Date]],"dddd")</f>
        <v>Friday</v>
      </c>
      <c r="D278" s="1" t="str">
        <f>IF(WEEKDAY(Table1[[#This Row],[Date]],2)&gt;5,"Weekend","Weekday")</f>
        <v>Weekday</v>
      </c>
      <c r="E278" t="s">
        <v>37</v>
      </c>
      <c r="F278" t="str">
        <f>_xlfn.TEXTAFTER(Table1[[#This Row],[Campaign_Name]],"_")</f>
        <v>Tier2</v>
      </c>
      <c r="G278" t="str">
        <f>IF(ISNUMBER(SEARCH("Tier1",Table1[[#This Row],[Campaign_Name]])),"Tier1",IF(ISNUMBER(SEARCH("Tier2",Table1[[#This Row],[Campaign_Name]])),"Tier2","Not Applicable"))</f>
        <v>Tier2</v>
      </c>
      <c r="H278" t="s">
        <v>61</v>
      </c>
      <c r="I278" s="3">
        <v>17935.400000000001</v>
      </c>
      <c r="J278" s="7">
        <v>438858</v>
      </c>
      <c r="K278" s="7">
        <v>1657</v>
      </c>
      <c r="L278" s="7">
        <v>33</v>
      </c>
      <c r="M278" s="7">
        <v>3</v>
      </c>
      <c r="N278" s="2">
        <v>15345</v>
      </c>
      <c r="O278" s="6">
        <f>Table1[[#This Row],[Clicks]]/Table1[[#This Row],[Impressions]]</f>
        <v>3.7757087714021392E-3</v>
      </c>
      <c r="P278" s="6">
        <f>Table1[[#This Row],[Leads]]/Table1[[#This Row],[Clicks]]</f>
        <v>1.9915509957754977E-2</v>
      </c>
      <c r="Q278" s="6" t="str">
        <f>IF(Table1[[#This Row],[Conversion1]]&gt;=2%,"High","Low")</f>
        <v>Low</v>
      </c>
      <c r="R278" s="6">
        <f>IFERROR(Table1[[#This Row],[Orders]]/Table1[[#This Row],[Leads]],0)</f>
        <v>9.0909090909090912E-2</v>
      </c>
      <c r="S278" s="6" t="str">
        <f>IF(Table1[[#This Row],[Conversion2]]&gt;=15%,"High","Low")</f>
        <v>Low</v>
      </c>
      <c r="T278" s="4">
        <f>IFERROR(Table1[[#This Row],[Revenue]]/Table1[[#This Row],[Orders]],0)</f>
        <v>5115</v>
      </c>
      <c r="U278" s="4">
        <f>Table1[[#This Row],[Market_Budget]]/Table1[[#This Row],[Clicks]]</f>
        <v>10.824019312009657</v>
      </c>
      <c r="V278" s="4">
        <f>IFERROR(Table1[[#This Row],[Market_Budget]]/Table1[[#This Row],[Leads]],0)</f>
        <v>543.4969696969697</v>
      </c>
      <c r="W278" s="4">
        <f>IFERROR(Table1[[#This Row],[Market_Budget]]/Table1[[#This Row],[Orders]],0)</f>
        <v>5978.4666666666672</v>
      </c>
      <c r="X278" s="15">
        <f>(Table1[[#This Row],[Revenue]]-Table1[[#This Row],[Market_Budget]])/Table1[[#This Row],[Market_Budget]]</f>
        <v>-0.1444294523679428</v>
      </c>
      <c r="Y278" s="5">
        <f>Table1[[#This Row],[Revenue]]-Table1[[#This Row],[Market_Budget]]</f>
        <v>-2590.4000000000015</v>
      </c>
    </row>
    <row r="279" spans="1:25" x14ac:dyDescent="0.35">
      <c r="A279">
        <v>89459845</v>
      </c>
      <c r="B279" s="1">
        <v>44253</v>
      </c>
      <c r="C279" s="1" t="str">
        <f>TEXT(Table1[[#This Row],[Date]],"dddd")</f>
        <v>Friday</v>
      </c>
      <c r="D279" s="1" t="str">
        <f>IF(WEEKDAY(Table1[[#This Row],[Date]],2)&gt;5,"Weekend","Weekday")</f>
        <v>Weekday</v>
      </c>
      <c r="E279" t="s">
        <v>38</v>
      </c>
      <c r="F279" t="str">
        <f>_xlfn.TEXTAFTER(Table1[[#This Row],[Campaign_Name]],"_")</f>
        <v>Hot</v>
      </c>
      <c r="G279" t="str">
        <f>IF(ISNUMBER(SEARCH("Tier1",Table1[[#This Row],[Campaign_Name]])),"Tier1",IF(ISNUMBER(SEARCH("Tier2",Table1[[#This Row],[Campaign_Name]])),"Tier2","Not Applicable"))</f>
        <v>Not Applicable</v>
      </c>
      <c r="H279" t="s">
        <v>47</v>
      </c>
      <c r="I279" s="3">
        <v>1545.74</v>
      </c>
      <c r="J279" s="7">
        <v>22450</v>
      </c>
      <c r="K279" s="7">
        <v>449</v>
      </c>
      <c r="L279" s="7">
        <v>2</v>
      </c>
      <c r="M279" s="7">
        <v>0</v>
      </c>
      <c r="N279" s="2">
        <v>0</v>
      </c>
      <c r="O279" s="6">
        <f>Table1[[#This Row],[Clicks]]/Table1[[#This Row],[Impressions]]</f>
        <v>0.02</v>
      </c>
      <c r="P279" s="6">
        <f>Table1[[#This Row],[Leads]]/Table1[[#This Row],[Clicks]]</f>
        <v>4.4543429844097994E-3</v>
      </c>
      <c r="Q279" s="6" t="str">
        <f>IF(Table1[[#This Row],[Conversion1]]&gt;=2%,"High","Low")</f>
        <v>Low</v>
      </c>
      <c r="R279" s="6">
        <f>IFERROR(Table1[[#This Row],[Orders]]/Table1[[#This Row],[Leads]],0)</f>
        <v>0</v>
      </c>
      <c r="S279" s="6" t="str">
        <f>IF(Table1[[#This Row],[Conversion2]]&gt;=15%,"High","Low")</f>
        <v>Low</v>
      </c>
      <c r="T279" s="4">
        <f>IFERROR(Table1[[#This Row],[Revenue]]/Table1[[#This Row],[Orders]],0)</f>
        <v>0</v>
      </c>
      <c r="U279" s="4">
        <f>Table1[[#This Row],[Market_Budget]]/Table1[[#This Row],[Clicks]]</f>
        <v>3.4426280623608019</v>
      </c>
      <c r="V279" s="4">
        <f>IFERROR(Table1[[#This Row],[Market_Budget]]/Table1[[#This Row],[Leads]],0)</f>
        <v>772.87</v>
      </c>
      <c r="W279" s="4">
        <f>IFERROR(Table1[[#This Row],[Market_Budget]]/Table1[[#This Row],[Orders]],0)</f>
        <v>0</v>
      </c>
      <c r="X279" s="15">
        <f>(Table1[[#This Row],[Revenue]]-Table1[[#This Row],[Market_Budget]])/Table1[[#This Row],[Market_Budget]]</f>
        <v>-1</v>
      </c>
      <c r="Y279" s="5">
        <f>Table1[[#This Row],[Revenue]]-Table1[[#This Row],[Market_Budget]]</f>
        <v>-1545.74</v>
      </c>
    </row>
    <row r="280" spans="1:25" x14ac:dyDescent="0.35">
      <c r="A280">
        <v>127823</v>
      </c>
      <c r="B280" s="1">
        <v>44253</v>
      </c>
      <c r="C280" s="1" t="str">
        <f>TEXT(Table1[[#This Row],[Date]],"dddd")</f>
        <v>Friday</v>
      </c>
      <c r="D280" s="1" t="str">
        <f>IF(WEEKDAY(Table1[[#This Row],[Date]],2)&gt;5,"Weekend","Weekday")</f>
        <v>Weekday</v>
      </c>
      <c r="E280" t="s">
        <v>39</v>
      </c>
      <c r="F280" t="str">
        <f>_xlfn.TEXTAFTER(Table1[[#This Row],[Campaign_Name]],"_")</f>
        <v>Wide</v>
      </c>
      <c r="G280" t="str">
        <f>IF(ISNUMBER(SEARCH("Tier1",Table1[[#This Row],[Campaign_Name]])),"Tier1",IF(ISNUMBER(SEARCH("Tier2",Table1[[#This Row],[Campaign_Name]])),"Tier2","Not Applicable"))</f>
        <v>Not Applicable</v>
      </c>
      <c r="H280" t="s">
        <v>47</v>
      </c>
      <c r="I280" s="3">
        <v>4453.1000000000004</v>
      </c>
      <c r="J280" s="7">
        <v>240600</v>
      </c>
      <c r="K280" s="7">
        <v>1203</v>
      </c>
      <c r="L280" s="7">
        <v>11</v>
      </c>
      <c r="M280" s="7">
        <v>1</v>
      </c>
      <c r="N280" s="2">
        <v>2283</v>
      </c>
      <c r="O280" s="6">
        <f>Table1[[#This Row],[Clicks]]/Table1[[#This Row],[Impressions]]</f>
        <v>5.0000000000000001E-3</v>
      </c>
      <c r="P280" s="6">
        <f>Table1[[#This Row],[Leads]]/Table1[[#This Row],[Clicks]]</f>
        <v>9.14380714879468E-3</v>
      </c>
      <c r="Q280" s="6" t="str">
        <f>IF(Table1[[#This Row],[Conversion1]]&gt;=2%,"High","Low")</f>
        <v>Low</v>
      </c>
      <c r="R280" s="6">
        <f>IFERROR(Table1[[#This Row],[Orders]]/Table1[[#This Row],[Leads]],0)</f>
        <v>9.0909090909090912E-2</v>
      </c>
      <c r="S280" s="6" t="str">
        <f>IF(Table1[[#This Row],[Conversion2]]&gt;=15%,"High","Low")</f>
        <v>Low</v>
      </c>
      <c r="T280" s="4">
        <f>IFERROR(Table1[[#This Row],[Revenue]]/Table1[[#This Row],[Orders]],0)</f>
        <v>2283</v>
      </c>
      <c r="U280" s="4">
        <f>Table1[[#This Row],[Market_Budget]]/Table1[[#This Row],[Clicks]]</f>
        <v>3.7016625103906904</v>
      </c>
      <c r="V280" s="4">
        <f>IFERROR(Table1[[#This Row],[Market_Budget]]/Table1[[#This Row],[Leads]],0)</f>
        <v>404.82727272727277</v>
      </c>
      <c r="W280" s="4">
        <f>IFERROR(Table1[[#This Row],[Market_Budget]]/Table1[[#This Row],[Orders]],0)</f>
        <v>4453.1000000000004</v>
      </c>
      <c r="X280" s="15">
        <f>(Table1[[#This Row],[Revenue]]-Table1[[#This Row],[Market_Budget]])/Table1[[#This Row],[Market_Budget]]</f>
        <v>-0.48732343760526381</v>
      </c>
      <c r="Y280" s="5">
        <f>Table1[[#This Row],[Revenue]]-Table1[[#This Row],[Market_Budget]]</f>
        <v>-2170.1000000000004</v>
      </c>
    </row>
    <row r="281" spans="1:25" x14ac:dyDescent="0.35">
      <c r="A281">
        <v>10934</v>
      </c>
      <c r="B281" s="1">
        <v>44253</v>
      </c>
      <c r="C281" s="1" t="str">
        <f>TEXT(Table1[[#This Row],[Date]],"dddd")</f>
        <v>Friday</v>
      </c>
      <c r="D281" s="1" t="str">
        <f>IF(WEEKDAY(Table1[[#This Row],[Date]],2)&gt;5,"Weekend","Weekday")</f>
        <v>Weekday</v>
      </c>
      <c r="E281" t="s">
        <v>40</v>
      </c>
      <c r="F281" t="str">
        <f>_xlfn.TEXTAFTER(Table1[[#This Row],[Campaign_Name]],"_")</f>
        <v>Blogger</v>
      </c>
      <c r="G281" t="str">
        <f>IF(ISNUMBER(SEARCH("Tier1",Table1[[#This Row],[Campaign_Name]])),"Tier1",IF(ISNUMBER(SEARCH("Tier2",Table1[[#This Row],[Campaign_Name]])),"Tier2","Not Applicable"))</f>
        <v>Not Applicable</v>
      </c>
      <c r="H281" t="s">
        <v>48</v>
      </c>
      <c r="I281" s="3">
        <v>38804.199999999997</v>
      </c>
      <c r="J281" s="7">
        <v>195016</v>
      </c>
      <c r="K281" s="7">
        <v>2247</v>
      </c>
      <c r="L281" s="7">
        <v>82</v>
      </c>
      <c r="M281" s="7">
        <v>16</v>
      </c>
      <c r="N281" s="2">
        <v>127696</v>
      </c>
      <c r="O281" s="6">
        <f>Table1[[#This Row],[Clicks]]/Table1[[#This Row],[Impressions]]</f>
        <v>1.1522131517413955E-2</v>
      </c>
      <c r="P281" s="6">
        <f>Table1[[#This Row],[Leads]]/Table1[[#This Row],[Clicks]]</f>
        <v>3.6493101913662659E-2</v>
      </c>
      <c r="Q281" s="6" t="str">
        <f>IF(Table1[[#This Row],[Conversion1]]&gt;=2%,"High","Low")</f>
        <v>High</v>
      </c>
      <c r="R281" s="6">
        <f>IFERROR(Table1[[#This Row],[Orders]]/Table1[[#This Row],[Leads]],0)</f>
        <v>0.1951219512195122</v>
      </c>
      <c r="S281" s="6" t="str">
        <f>IF(Table1[[#This Row],[Conversion2]]&gt;=15%,"High","Low")</f>
        <v>High</v>
      </c>
      <c r="T281" s="4">
        <f>IFERROR(Table1[[#This Row],[Revenue]]/Table1[[#This Row],[Orders]],0)</f>
        <v>7981</v>
      </c>
      <c r="U281" s="4">
        <f>Table1[[#This Row],[Market_Budget]]/Table1[[#This Row],[Clicks]]</f>
        <v>17.269336893635959</v>
      </c>
      <c r="V281" s="4">
        <f>IFERROR(Table1[[#This Row],[Market_Budget]]/Table1[[#This Row],[Leads]],0)</f>
        <v>473.22195121951216</v>
      </c>
      <c r="W281" s="4">
        <f>IFERROR(Table1[[#This Row],[Market_Budget]]/Table1[[#This Row],[Orders]],0)</f>
        <v>2425.2624999999998</v>
      </c>
      <c r="X281" s="15">
        <f>(Table1[[#This Row],[Revenue]]-Table1[[#This Row],[Market_Budget]])/Table1[[#This Row],[Market_Budget]]</f>
        <v>2.2907778024028329</v>
      </c>
      <c r="Y281" s="5">
        <f>Table1[[#This Row],[Revenue]]-Table1[[#This Row],[Market_Budget]]</f>
        <v>88891.8</v>
      </c>
    </row>
    <row r="282" spans="1:25" x14ac:dyDescent="0.35">
      <c r="A282">
        <v>9034945</v>
      </c>
      <c r="B282" s="1">
        <v>44253</v>
      </c>
      <c r="C282" s="1" t="str">
        <f>TEXT(Table1[[#This Row],[Date]],"dddd")</f>
        <v>Friday</v>
      </c>
      <c r="D282" s="1" t="str">
        <f>IF(WEEKDAY(Table1[[#This Row],[Date]],2)&gt;5,"Weekend","Weekday")</f>
        <v>Weekday</v>
      </c>
      <c r="E282" t="s">
        <v>41</v>
      </c>
      <c r="F282" t="str">
        <f>_xlfn.TEXTAFTER(Table1[[#This Row],[Campaign_Name]],"_")</f>
        <v>Tier1</v>
      </c>
      <c r="G282" t="str">
        <f>IF(ISNUMBER(SEARCH("Tier1",Table1[[#This Row],[Campaign_Name]])),"Tier1",IF(ISNUMBER(SEARCH("Tier2",Table1[[#This Row],[Campaign_Name]])),"Tier2","Not Applicable"))</f>
        <v>Tier1</v>
      </c>
      <c r="H282" t="s">
        <v>61</v>
      </c>
      <c r="I282" s="3">
        <v>12592.4</v>
      </c>
      <c r="J282" s="7">
        <v>174375</v>
      </c>
      <c r="K282" s="7">
        <v>1342</v>
      </c>
      <c r="L282" s="7">
        <v>27</v>
      </c>
      <c r="M282" s="7">
        <v>4</v>
      </c>
      <c r="N282" s="2">
        <v>26556</v>
      </c>
      <c r="O282" s="6">
        <f>Table1[[#This Row],[Clicks]]/Table1[[#This Row],[Impressions]]</f>
        <v>7.6960573476702512E-3</v>
      </c>
      <c r="P282" s="6">
        <f>Table1[[#This Row],[Leads]]/Table1[[#This Row],[Clicks]]</f>
        <v>2.0119225037257823E-2</v>
      </c>
      <c r="Q282" s="6" t="str">
        <f>IF(Table1[[#This Row],[Conversion1]]&gt;=2%,"High","Low")</f>
        <v>High</v>
      </c>
      <c r="R282" s="6">
        <f>IFERROR(Table1[[#This Row],[Orders]]/Table1[[#This Row],[Leads]],0)</f>
        <v>0.14814814814814814</v>
      </c>
      <c r="S282" s="6" t="str">
        <f>IF(Table1[[#This Row],[Conversion2]]&gt;=15%,"High","Low")</f>
        <v>Low</v>
      </c>
      <c r="T282" s="4">
        <f>IFERROR(Table1[[#This Row],[Revenue]]/Table1[[#This Row],[Orders]],0)</f>
        <v>6639</v>
      </c>
      <c r="U282" s="4">
        <f>Table1[[#This Row],[Market_Budget]]/Table1[[#This Row],[Clicks]]</f>
        <v>9.3833084947839041</v>
      </c>
      <c r="V282" s="4">
        <f>IFERROR(Table1[[#This Row],[Market_Budget]]/Table1[[#This Row],[Leads]],0)</f>
        <v>466.38518518518515</v>
      </c>
      <c r="W282" s="4">
        <f>IFERROR(Table1[[#This Row],[Market_Budget]]/Table1[[#This Row],[Orders]],0)</f>
        <v>3148.1</v>
      </c>
      <c r="X282" s="15">
        <f>(Table1[[#This Row],[Revenue]]-Table1[[#This Row],[Market_Budget]])/Table1[[#This Row],[Market_Budget]]</f>
        <v>1.1088910771576508</v>
      </c>
      <c r="Y282" s="5">
        <f>Table1[[#This Row],[Revenue]]-Table1[[#This Row],[Market_Budget]]</f>
        <v>13963.6</v>
      </c>
    </row>
    <row r="283" spans="1:25" x14ac:dyDescent="0.35">
      <c r="A283">
        <v>983498</v>
      </c>
      <c r="B283" s="1">
        <v>44253</v>
      </c>
      <c r="C283" s="1" t="str">
        <f>TEXT(Table1[[#This Row],[Date]],"dddd")</f>
        <v>Friday</v>
      </c>
      <c r="D283" s="1" t="str">
        <f>IF(WEEKDAY(Table1[[#This Row],[Date]],2)&gt;5,"Weekend","Weekday")</f>
        <v>Weekday</v>
      </c>
      <c r="E283" t="s">
        <v>42</v>
      </c>
      <c r="F283" t="str">
        <f>_xlfn.TEXTAFTER(Table1[[#This Row],[Campaign_Name]],"_")</f>
        <v>Tier2</v>
      </c>
      <c r="G283" t="str">
        <f>IF(ISNUMBER(SEARCH("Tier1",Table1[[#This Row],[Campaign_Name]])),"Tier1",IF(ISNUMBER(SEARCH("Tier2",Table1[[#This Row],[Campaign_Name]])),"Tier2","Not Applicable"))</f>
        <v>Tier2</v>
      </c>
      <c r="H283" t="s">
        <v>61</v>
      </c>
      <c r="I283" s="3">
        <v>2403.54</v>
      </c>
      <c r="J283" s="7">
        <v>508600</v>
      </c>
      <c r="K283" s="7">
        <v>2543</v>
      </c>
      <c r="L283" s="7">
        <v>73</v>
      </c>
      <c r="M283" s="7">
        <v>1</v>
      </c>
      <c r="N283" s="2">
        <v>1981</v>
      </c>
      <c r="O283" s="6">
        <f>Table1[[#This Row],[Clicks]]/Table1[[#This Row],[Impressions]]</f>
        <v>5.0000000000000001E-3</v>
      </c>
      <c r="P283" s="6">
        <f>Table1[[#This Row],[Leads]]/Table1[[#This Row],[Clicks]]</f>
        <v>2.8706252457727094E-2</v>
      </c>
      <c r="Q283" s="6" t="str">
        <f>IF(Table1[[#This Row],[Conversion1]]&gt;=2%,"High","Low")</f>
        <v>High</v>
      </c>
      <c r="R283" s="6">
        <f>IFERROR(Table1[[#This Row],[Orders]]/Table1[[#This Row],[Leads]],0)</f>
        <v>1.3698630136986301E-2</v>
      </c>
      <c r="S283" s="6" t="str">
        <f>IF(Table1[[#This Row],[Conversion2]]&gt;=15%,"High","Low")</f>
        <v>Low</v>
      </c>
      <c r="T283" s="4">
        <f>IFERROR(Table1[[#This Row],[Revenue]]/Table1[[#This Row],[Orders]],0)</f>
        <v>1981</v>
      </c>
      <c r="U283" s="4">
        <f>Table1[[#This Row],[Market_Budget]]/Table1[[#This Row],[Clicks]]</f>
        <v>0.94515926071569012</v>
      </c>
      <c r="V283" s="4">
        <f>IFERROR(Table1[[#This Row],[Market_Budget]]/Table1[[#This Row],[Leads]],0)</f>
        <v>32.925205479452053</v>
      </c>
      <c r="W283" s="4">
        <f>IFERROR(Table1[[#This Row],[Market_Budget]]/Table1[[#This Row],[Orders]],0)</f>
        <v>2403.54</v>
      </c>
      <c r="X283" s="15">
        <f>(Table1[[#This Row],[Revenue]]-Table1[[#This Row],[Market_Budget]])/Table1[[#This Row],[Market_Budget]]</f>
        <v>-0.17579902976443079</v>
      </c>
      <c r="Y283" s="5">
        <f>Table1[[#This Row],[Revenue]]-Table1[[#This Row],[Market_Budget]]</f>
        <v>-422.53999999999996</v>
      </c>
    </row>
    <row r="284" spans="1:25" x14ac:dyDescent="0.35">
      <c r="A284">
        <v>4387490</v>
      </c>
      <c r="B284" s="1">
        <v>44253</v>
      </c>
      <c r="C284" s="1" t="str">
        <f>TEXT(Table1[[#This Row],[Date]],"dddd")</f>
        <v>Friday</v>
      </c>
      <c r="D284" s="1" t="str">
        <f>IF(WEEKDAY(Table1[[#This Row],[Date]],2)&gt;5,"Weekend","Weekday")</f>
        <v>Weekday</v>
      </c>
      <c r="E284" t="s">
        <v>43</v>
      </c>
      <c r="F284" t="str">
        <f>_xlfn.TEXTAFTER(Table1[[#This Row],[Campaign_Name]],"_")</f>
        <v>Retargeting</v>
      </c>
      <c r="G284" t="str">
        <f>IF(ISNUMBER(SEARCH("Tier1",Table1[[#This Row],[Campaign_Name]])),"Tier1",IF(ISNUMBER(SEARCH("Tier2",Table1[[#This Row],[Campaign_Name]])),"Tier2","Not Applicable"))</f>
        <v>Not Applicable</v>
      </c>
      <c r="H284" t="s">
        <v>61</v>
      </c>
      <c r="I284" s="3">
        <v>1071.1600000000001</v>
      </c>
      <c r="J284" s="7">
        <v>4906</v>
      </c>
      <c r="K284" s="7">
        <v>143</v>
      </c>
      <c r="L284" s="7">
        <v>3</v>
      </c>
      <c r="M284" s="7">
        <v>1</v>
      </c>
      <c r="N284" s="2">
        <v>4981</v>
      </c>
      <c r="O284" s="6">
        <f>Table1[[#This Row],[Clicks]]/Table1[[#This Row],[Impressions]]</f>
        <v>2.914798206278027E-2</v>
      </c>
      <c r="P284" s="6">
        <f>Table1[[#This Row],[Leads]]/Table1[[#This Row],[Clicks]]</f>
        <v>2.097902097902098E-2</v>
      </c>
      <c r="Q284" s="6" t="str">
        <f>IF(Table1[[#This Row],[Conversion1]]&gt;=2%,"High","Low")</f>
        <v>High</v>
      </c>
      <c r="R284" s="6">
        <f>IFERROR(Table1[[#This Row],[Orders]]/Table1[[#This Row],[Leads]],0)</f>
        <v>0.33333333333333331</v>
      </c>
      <c r="S284" s="6" t="str">
        <f>IF(Table1[[#This Row],[Conversion2]]&gt;=15%,"High","Low")</f>
        <v>High</v>
      </c>
      <c r="T284" s="4">
        <f>IFERROR(Table1[[#This Row],[Revenue]]/Table1[[#This Row],[Orders]],0)</f>
        <v>4981</v>
      </c>
      <c r="U284" s="4">
        <f>Table1[[#This Row],[Market_Budget]]/Table1[[#This Row],[Clicks]]</f>
        <v>7.490629370629371</v>
      </c>
      <c r="V284" s="4">
        <f>IFERROR(Table1[[#This Row],[Market_Budget]]/Table1[[#This Row],[Leads]],0)</f>
        <v>357.05333333333334</v>
      </c>
      <c r="W284" s="4">
        <f>IFERROR(Table1[[#This Row],[Market_Budget]]/Table1[[#This Row],[Orders]],0)</f>
        <v>1071.1600000000001</v>
      </c>
      <c r="X284" s="15">
        <f>(Table1[[#This Row],[Revenue]]-Table1[[#This Row],[Market_Budget]])/Table1[[#This Row],[Market_Budget]]</f>
        <v>3.6500989581388401</v>
      </c>
      <c r="Y284" s="5">
        <f>Table1[[#This Row],[Revenue]]-Table1[[#This Row],[Market_Budget]]</f>
        <v>3909.84</v>
      </c>
    </row>
    <row r="285" spans="1:25" x14ac:dyDescent="0.35">
      <c r="A285">
        <v>544756</v>
      </c>
      <c r="B285" s="1">
        <v>44253</v>
      </c>
      <c r="C285" s="1" t="str">
        <f>TEXT(Table1[[#This Row],[Date]],"dddd")</f>
        <v>Friday</v>
      </c>
      <c r="D285" s="1" t="str">
        <f>IF(WEEKDAY(Table1[[#This Row],[Date]],2)&gt;5,"Weekend","Weekday")</f>
        <v>Weekday</v>
      </c>
      <c r="E285" t="s">
        <v>44</v>
      </c>
      <c r="F285" t="str">
        <f>_xlfn.TEXTAFTER(Table1[[#This Row],[Campaign_Name]],"_")</f>
        <v>Lal</v>
      </c>
      <c r="G285" t="str">
        <f>IF(ISNUMBER(SEARCH("Tier1",Table1[[#This Row],[Campaign_Name]])),"Tier1",IF(ISNUMBER(SEARCH("Tier2",Table1[[#This Row],[Campaign_Name]])),"Tier2","Not Applicable"))</f>
        <v>Not Applicable</v>
      </c>
      <c r="H285" t="s">
        <v>61</v>
      </c>
      <c r="I285" s="3">
        <v>315.92</v>
      </c>
      <c r="J285" s="7">
        <v>55269</v>
      </c>
      <c r="K285" s="7">
        <v>610</v>
      </c>
      <c r="L285" s="7">
        <v>0</v>
      </c>
      <c r="M285" s="7">
        <v>0</v>
      </c>
      <c r="N285" s="2">
        <v>0</v>
      </c>
      <c r="O285" s="6">
        <f>Table1[[#This Row],[Clicks]]/Table1[[#This Row],[Impressions]]</f>
        <v>1.1036928477084804E-2</v>
      </c>
      <c r="P285" s="6">
        <f>Table1[[#This Row],[Leads]]/Table1[[#This Row],[Clicks]]</f>
        <v>0</v>
      </c>
      <c r="Q285" s="6" t="str">
        <f>IF(Table1[[#This Row],[Conversion1]]&gt;=2%,"High","Low")</f>
        <v>Low</v>
      </c>
      <c r="R285" s="6">
        <f>IFERROR(Table1[[#This Row],[Orders]]/Table1[[#This Row],[Leads]],0)</f>
        <v>0</v>
      </c>
      <c r="S285" s="6" t="str">
        <f>IF(Table1[[#This Row],[Conversion2]]&gt;=15%,"High","Low")</f>
        <v>Low</v>
      </c>
      <c r="T285" s="4">
        <f>IFERROR(Table1[[#This Row],[Revenue]]/Table1[[#This Row],[Orders]],0)</f>
        <v>0</v>
      </c>
      <c r="U285" s="4">
        <f>Table1[[#This Row],[Market_Budget]]/Table1[[#This Row],[Clicks]]</f>
        <v>0.51790163934426237</v>
      </c>
      <c r="V285" s="4">
        <f>IFERROR(Table1[[#This Row],[Market_Budget]]/Table1[[#This Row],[Leads]],0)</f>
        <v>0</v>
      </c>
      <c r="W285" s="4">
        <f>IFERROR(Table1[[#This Row],[Market_Budget]]/Table1[[#This Row],[Orders]],0)</f>
        <v>0</v>
      </c>
      <c r="X285" s="15">
        <f>(Table1[[#This Row],[Revenue]]-Table1[[#This Row],[Market_Budget]])/Table1[[#This Row],[Market_Budget]]</f>
        <v>-1</v>
      </c>
      <c r="Y285" s="5">
        <f>Table1[[#This Row],[Revenue]]-Table1[[#This Row],[Market_Budget]]</f>
        <v>-315.92</v>
      </c>
    </row>
    <row r="286" spans="1:25" x14ac:dyDescent="0.35">
      <c r="A286">
        <v>374754</v>
      </c>
      <c r="B286" s="1">
        <v>44253</v>
      </c>
      <c r="C286" s="1" t="str">
        <f>TEXT(Table1[[#This Row],[Date]],"dddd")</f>
        <v>Friday</v>
      </c>
      <c r="D286" s="1" t="str">
        <f>IF(WEEKDAY(Table1[[#This Row],[Date]],2)&gt;5,"Weekend","Weekday")</f>
        <v>Weekday</v>
      </c>
      <c r="E286" t="s">
        <v>45</v>
      </c>
      <c r="F286" t="str">
        <f>_xlfn.TEXTAFTER(Table1[[#This Row],[Campaign_Name]],"_")</f>
        <v>Blogger</v>
      </c>
      <c r="G286" t="str">
        <f>IF(ISNUMBER(SEARCH("Tier1",Table1[[#This Row],[Campaign_Name]])),"Tier1",IF(ISNUMBER(SEARCH("Tier2",Table1[[#This Row],[Campaign_Name]])),"Tier2","Not Applicable"))</f>
        <v>Not Applicable</v>
      </c>
      <c r="H286" t="s">
        <v>48</v>
      </c>
      <c r="I286" s="3">
        <v>15596</v>
      </c>
      <c r="J286" s="7">
        <v>192489</v>
      </c>
      <c r="K286" s="7">
        <v>1497</v>
      </c>
      <c r="L286" s="7">
        <v>34</v>
      </c>
      <c r="M286" s="7">
        <v>5</v>
      </c>
      <c r="N286" s="2">
        <v>25205</v>
      </c>
      <c r="O286" s="6">
        <f>Table1[[#This Row],[Clicks]]/Table1[[#This Row],[Impressions]]</f>
        <v>7.777067780496548E-3</v>
      </c>
      <c r="P286" s="6">
        <f>Table1[[#This Row],[Leads]]/Table1[[#This Row],[Clicks]]</f>
        <v>2.2712090848363394E-2</v>
      </c>
      <c r="Q286" s="6" t="str">
        <f>IF(Table1[[#This Row],[Conversion1]]&gt;=2%,"High","Low")</f>
        <v>High</v>
      </c>
      <c r="R286" s="6">
        <f>IFERROR(Table1[[#This Row],[Orders]]/Table1[[#This Row],[Leads]],0)</f>
        <v>0.14705882352941177</v>
      </c>
      <c r="S286" s="6" t="str">
        <f>IF(Table1[[#This Row],[Conversion2]]&gt;=15%,"High","Low")</f>
        <v>Low</v>
      </c>
      <c r="T286" s="4">
        <f>IFERROR(Table1[[#This Row],[Revenue]]/Table1[[#This Row],[Orders]],0)</f>
        <v>5041</v>
      </c>
      <c r="U286" s="4">
        <f>Table1[[#This Row],[Market_Budget]]/Table1[[#This Row],[Clicks]]</f>
        <v>10.41816967267869</v>
      </c>
      <c r="V286" s="4">
        <f>IFERROR(Table1[[#This Row],[Market_Budget]]/Table1[[#This Row],[Leads]],0)</f>
        <v>458.70588235294116</v>
      </c>
      <c r="W286" s="4">
        <f>IFERROR(Table1[[#This Row],[Market_Budget]]/Table1[[#This Row],[Orders]],0)</f>
        <v>3119.2</v>
      </c>
      <c r="X286" s="15">
        <f>(Table1[[#This Row],[Revenue]]-Table1[[#This Row],[Market_Budget]])/Table1[[#This Row],[Market_Budget]]</f>
        <v>0.61611951782508334</v>
      </c>
      <c r="Y286" s="5">
        <f>Table1[[#This Row],[Revenue]]-Table1[[#This Row],[Market_Budget]]</f>
        <v>9609</v>
      </c>
    </row>
    <row r="287" spans="1:25" x14ac:dyDescent="0.35">
      <c r="A287">
        <v>39889</v>
      </c>
      <c r="B287" s="1">
        <v>44253</v>
      </c>
      <c r="C287" s="1" t="str">
        <f>TEXT(Table1[[#This Row],[Date]],"dddd")</f>
        <v>Friday</v>
      </c>
      <c r="D287" s="1" t="str">
        <f>IF(WEEKDAY(Table1[[#This Row],[Date]],2)&gt;5,"Weekend","Weekday")</f>
        <v>Weekday</v>
      </c>
      <c r="E287" t="s">
        <v>46</v>
      </c>
      <c r="F287" t="str">
        <f>_xlfn.TEXTAFTER(Table1[[#This Row],[Campaign_Name]],"_")</f>
        <v>Partner</v>
      </c>
      <c r="G287" t="str">
        <f>IF(ISNUMBER(SEARCH("Tier1",Table1[[#This Row],[Campaign_Name]])),"Tier1",IF(ISNUMBER(SEARCH("Tier2",Table1[[#This Row],[Campaign_Name]])),"Tier2","Not Applicable"))</f>
        <v>Not Applicable</v>
      </c>
      <c r="H287" t="s">
        <v>62</v>
      </c>
      <c r="I287" s="3">
        <v>8087.73</v>
      </c>
      <c r="J287" s="7">
        <v>20930000</v>
      </c>
      <c r="K287" s="7">
        <v>2093</v>
      </c>
      <c r="L287" s="7">
        <v>22</v>
      </c>
      <c r="M287" s="7">
        <v>3</v>
      </c>
      <c r="N287" s="2">
        <v>12213</v>
      </c>
      <c r="O287" s="6">
        <f>Table1[[#This Row],[Clicks]]/Table1[[#This Row],[Impressions]]</f>
        <v>1E-4</v>
      </c>
      <c r="P287" s="6">
        <f>Table1[[#This Row],[Leads]]/Table1[[#This Row],[Clicks]]</f>
        <v>1.051122790253225E-2</v>
      </c>
      <c r="Q287" s="6" t="str">
        <f>IF(Table1[[#This Row],[Conversion1]]&gt;=2%,"High","Low")</f>
        <v>Low</v>
      </c>
      <c r="R287" s="6">
        <f>IFERROR(Table1[[#This Row],[Orders]]/Table1[[#This Row],[Leads]],0)</f>
        <v>0.13636363636363635</v>
      </c>
      <c r="S287" s="6" t="str">
        <f>IF(Table1[[#This Row],[Conversion2]]&gt;=15%,"High","Low")</f>
        <v>Low</v>
      </c>
      <c r="T287" s="4">
        <f>IFERROR(Table1[[#This Row],[Revenue]]/Table1[[#This Row],[Orders]],0)</f>
        <v>4071</v>
      </c>
      <c r="U287" s="4">
        <f>Table1[[#This Row],[Market_Budget]]/Table1[[#This Row],[Clicks]]</f>
        <v>3.8641806020066887</v>
      </c>
      <c r="V287" s="4">
        <f>IFERROR(Table1[[#This Row],[Market_Budget]]/Table1[[#This Row],[Leads]],0)</f>
        <v>367.62409090909091</v>
      </c>
      <c r="W287" s="4">
        <f>IFERROR(Table1[[#This Row],[Market_Budget]]/Table1[[#This Row],[Orders]],0)</f>
        <v>2695.91</v>
      </c>
      <c r="X287" s="15">
        <f>(Table1[[#This Row],[Revenue]]-Table1[[#This Row],[Market_Budget]])/Table1[[#This Row],[Market_Budget]]</f>
        <v>0.51006524698524813</v>
      </c>
      <c r="Y287" s="5">
        <f>Table1[[#This Row],[Revenue]]-Table1[[#This Row],[Market_Budget]]</f>
        <v>4125.2700000000004</v>
      </c>
    </row>
    <row r="288" spans="1:25" x14ac:dyDescent="0.35">
      <c r="A288">
        <v>349043</v>
      </c>
      <c r="B288" s="1">
        <v>44254</v>
      </c>
      <c r="C288" s="1" t="str">
        <f>TEXT(Table1[[#This Row],[Date]],"dddd")</f>
        <v>Saturday</v>
      </c>
      <c r="D288" s="1" t="str">
        <f>IF(WEEKDAY(Table1[[#This Row],[Date]],2)&gt;5,"Weekend","Weekday")</f>
        <v>Weekend</v>
      </c>
      <c r="E288" t="s">
        <v>36</v>
      </c>
      <c r="F288" t="str">
        <f>_xlfn.TEXTAFTER(Table1[[#This Row],[Campaign_Name]],"_")</f>
        <v>Tier1</v>
      </c>
      <c r="G288" t="str">
        <f>IF(ISNUMBER(SEARCH("Tier1",Table1[[#This Row],[Campaign_Name]])),"Tier1",IF(ISNUMBER(SEARCH("Tier2",Table1[[#This Row],[Campaign_Name]])),"Tier2","Not Applicable"))</f>
        <v>Tier1</v>
      </c>
      <c r="H288" t="s">
        <v>61</v>
      </c>
      <c r="I288" s="3">
        <v>5003.33</v>
      </c>
      <c r="J288" s="7">
        <v>213771</v>
      </c>
      <c r="K288" s="7">
        <v>241</v>
      </c>
      <c r="L288" s="7">
        <v>9</v>
      </c>
      <c r="M288" s="7">
        <v>1</v>
      </c>
      <c r="N288" s="2">
        <v>4223</v>
      </c>
      <c r="O288" s="6">
        <f>Table1[[#This Row],[Clicks]]/Table1[[#This Row],[Impressions]]</f>
        <v>1.1273746205051199E-3</v>
      </c>
      <c r="P288" s="6">
        <f>Table1[[#This Row],[Leads]]/Table1[[#This Row],[Clicks]]</f>
        <v>3.7344398340248962E-2</v>
      </c>
      <c r="Q288" s="6" t="str">
        <f>IF(Table1[[#This Row],[Conversion1]]&gt;=2%,"High","Low")</f>
        <v>High</v>
      </c>
      <c r="R288" s="6">
        <f>IFERROR(Table1[[#This Row],[Orders]]/Table1[[#This Row],[Leads]],0)</f>
        <v>0.1111111111111111</v>
      </c>
      <c r="S288" s="6" t="str">
        <f>IF(Table1[[#This Row],[Conversion2]]&gt;=15%,"High","Low")</f>
        <v>Low</v>
      </c>
      <c r="T288" s="4">
        <f>IFERROR(Table1[[#This Row],[Revenue]]/Table1[[#This Row],[Orders]],0)</f>
        <v>4223</v>
      </c>
      <c r="U288" s="4">
        <f>Table1[[#This Row],[Market_Budget]]/Table1[[#This Row],[Clicks]]</f>
        <v>20.760705394190872</v>
      </c>
      <c r="V288" s="4">
        <f>IFERROR(Table1[[#This Row],[Market_Budget]]/Table1[[#This Row],[Leads]],0)</f>
        <v>555.92555555555555</v>
      </c>
      <c r="W288" s="4">
        <f>IFERROR(Table1[[#This Row],[Market_Budget]]/Table1[[#This Row],[Orders]],0)</f>
        <v>5003.33</v>
      </c>
      <c r="X288" s="15">
        <f>(Table1[[#This Row],[Revenue]]-Table1[[#This Row],[Market_Budget]])/Table1[[#This Row],[Market_Budget]]</f>
        <v>-0.15596212922193817</v>
      </c>
      <c r="Y288" s="5">
        <f>Table1[[#This Row],[Revenue]]-Table1[[#This Row],[Market_Budget]]</f>
        <v>-780.32999999999993</v>
      </c>
    </row>
    <row r="289" spans="1:25" x14ac:dyDescent="0.35">
      <c r="A289">
        <v>348934</v>
      </c>
      <c r="B289" s="1">
        <v>44254</v>
      </c>
      <c r="C289" s="1" t="str">
        <f>TEXT(Table1[[#This Row],[Date]],"dddd")</f>
        <v>Saturday</v>
      </c>
      <c r="D289" s="1" t="str">
        <f>IF(WEEKDAY(Table1[[#This Row],[Date]],2)&gt;5,"Weekend","Weekday")</f>
        <v>Weekend</v>
      </c>
      <c r="E289" t="s">
        <v>37</v>
      </c>
      <c r="F289" t="str">
        <f>_xlfn.TEXTAFTER(Table1[[#This Row],[Campaign_Name]],"_")</f>
        <v>Tier2</v>
      </c>
      <c r="G289" t="str">
        <f>IF(ISNUMBER(SEARCH("Tier1",Table1[[#This Row],[Campaign_Name]])),"Tier1",IF(ISNUMBER(SEARCH("Tier2",Table1[[#This Row],[Campaign_Name]])),"Tier2","Not Applicable"))</f>
        <v>Tier2</v>
      </c>
      <c r="H289" t="s">
        <v>61</v>
      </c>
      <c r="I289" s="3">
        <v>3235.77</v>
      </c>
      <c r="J289" s="7">
        <v>66400</v>
      </c>
      <c r="K289" s="7">
        <v>332</v>
      </c>
      <c r="L289" s="7">
        <v>13</v>
      </c>
      <c r="M289" s="7">
        <v>0</v>
      </c>
      <c r="N289" s="2">
        <v>0</v>
      </c>
      <c r="O289" s="6">
        <f>Table1[[#This Row],[Clicks]]/Table1[[#This Row],[Impressions]]</f>
        <v>5.0000000000000001E-3</v>
      </c>
      <c r="P289" s="6">
        <f>Table1[[#This Row],[Leads]]/Table1[[#This Row],[Clicks]]</f>
        <v>3.9156626506024098E-2</v>
      </c>
      <c r="Q289" s="6" t="str">
        <f>IF(Table1[[#This Row],[Conversion1]]&gt;=2%,"High","Low")</f>
        <v>High</v>
      </c>
      <c r="R289" s="6">
        <f>IFERROR(Table1[[#This Row],[Orders]]/Table1[[#This Row],[Leads]],0)</f>
        <v>0</v>
      </c>
      <c r="S289" s="6" t="str">
        <f>IF(Table1[[#This Row],[Conversion2]]&gt;=15%,"High","Low")</f>
        <v>Low</v>
      </c>
      <c r="T289" s="4">
        <f>IFERROR(Table1[[#This Row],[Revenue]]/Table1[[#This Row],[Orders]],0)</f>
        <v>0</v>
      </c>
      <c r="U289" s="4">
        <f>Table1[[#This Row],[Market_Budget]]/Table1[[#This Row],[Clicks]]</f>
        <v>9.7462951807228908</v>
      </c>
      <c r="V289" s="4">
        <f>IFERROR(Table1[[#This Row],[Market_Budget]]/Table1[[#This Row],[Leads]],0)</f>
        <v>248.90538461538461</v>
      </c>
      <c r="W289" s="4">
        <f>IFERROR(Table1[[#This Row],[Market_Budget]]/Table1[[#This Row],[Orders]],0)</f>
        <v>0</v>
      </c>
      <c r="X289" s="15">
        <f>(Table1[[#This Row],[Revenue]]-Table1[[#This Row],[Market_Budget]])/Table1[[#This Row],[Market_Budget]]</f>
        <v>-1</v>
      </c>
      <c r="Y289" s="5">
        <f>Table1[[#This Row],[Revenue]]-Table1[[#This Row],[Market_Budget]]</f>
        <v>-3235.77</v>
      </c>
    </row>
    <row r="290" spans="1:25" x14ac:dyDescent="0.35">
      <c r="A290">
        <v>89459845</v>
      </c>
      <c r="B290" s="1">
        <v>44254</v>
      </c>
      <c r="C290" s="1" t="str">
        <f>TEXT(Table1[[#This Row],[Date]],"dddd")</f>
        <v>Saturday</v>
      </c>
      <c r="D290" s="1" t="str">
        <f>IF(WEEKDAY(Table1[[#This Row],[Date]],2)&gt;5,"Weekend","Weekday")</f>
        <v>Weekend</v>
      </c>
      <c r="E290" t="s">
        <v>38</v>
      </c>
      <c r="F290" t="str">
        <f>_xlfn.TEXTAFTER(Table1[[#This Row],[Campaign_Name]],"_")</f>
        <v>Hot</v>
      </c>
      <c r="G290" t="str">
        <f>IF(ISNUMBER(SEARCH("Tier1",Table1[[#This Row],[Campaign_Name]])),"Tier1",IF(ISNUMBER(SEARCH("Tier2",Table1[[#This Row],[Campaign_Name]])),"Tier2","Not Applicable"))</f>
        <v>Not Applicable</v>
      </c>
      <c r="H290" t="s">
        <v>47</v>
      </c>
      <c r="I290" s="3">
        <v>1754.25</v>
      </c>
      <c r="J290" s="7">
        <v>4662</v>
      </c>
      <c r="K290" s="7">
        <v>83</v>
      </c>
      <c r="L290" s="7">
        <v>2</v>
      </c>
      <c r="M290" s="7">
        <v>0</v>
      </c>
      <c r="N290" s="2">
        <v>0</v>
      </c>
      <c r="O290" s="6">
        <f>Table1[[#This Row],[Clicks]]/Table1[[#This Row],[Impressions]]</f>
        <v>1.7803517803517802E-2</v>
      </c>
      <c r="P290" s="6">
        <f>Table1[[#This Row],[Leads]]/Table1[[#This Row],[Clicks]]</f>
        <v>2.4096385542168676E-2</v>
      </c>
      <c r="Q290" s="6" t="str">
        <f>IF(Table1[[#This Row],[Conversion1]]&gt;=2%,"High","Low")</f>
        <v>High</v>
      </c>
      <c r="R290" s="6">
        <f>IFERROR(Table1[[#This Row],[Orders]]/Table1[[#This Row],[Leads]],0)</f>
        <v>0</v>
      </c>
      <c r="S290" s="6" t="str">
        <f>IF(Table1[[#This Row],[Conversion2]]&gt;=15%,"High","Low")</f>
        <v>Low</v>
      </c>
      <c r="T290" s="4">
        <f>IFERROR(Table1[[#This Row],[Revenue]]/Table1[[#This Row],[Orders]],0)</f>
        <v>0</v>
      </c>
      <c r="U290" s="4">
        <f>Table1[[#This Row],[Market_Budget]]/Table1[[#This Row],[Clicks]]</f>
        <v>21.1355421686747</v>
      </c>
      <c r="V290" s="4">
        <f>IFERROR(Table1[[#This Row],[Market_Budget]]/Table1[[#This Row],[Leads]],0)</f>
        <v>877.125</v>
      </c>
      <c r="W290" s="4">
        <f>IFERROR(Table1[[#This Row],[Market_Budget]]/Table1[[#This Row],[Orders]],0)</f>
        <v>0</v>
      </c>
      <c r="X290" s="15">
        <f>(Table1[[#This Row],[Revenue]]-Table1[[#This Row],[Market_Budget]])/Table1[[#This Row],[Market_Budget]]</f>
        <v>-1</v>
      </c>
      <c r="Y290" s="5">
        <f>Table1[[#This Row],[Revenue]]-Table1[[#This Row],[Market_Budget]]</f>
        <v>-1754.25</v>
      </c>
    </row>
    <row r="291" spans="1:25" x14ac:dyDescent="0.35">
      <c r="A291">
        <v>127823</v>
      </c>
      <c r="B291" s="1">
        <v>44254</v>
      </c>
      <c r="C291" s="1" t="str">
        <f>TEXT(Table1[[#This Row],[Date]],"dddd")</f>
        <v>Saturday</v>
      </c>
      <c r="D291" s="1" t="str">
        <f>IF(WEEKDAY(Table1[[#This Row],[Date]],2)&gt;5,"Weekend","Weekday")</f>
        <v>Weekend</v>
      </c>
      <c r="E291" t="s">
        <v>39</v>
      </c>
      <c r="F291" t="str">
        <f>_xlfn.TEXTAFTER(Table1[[#This Row],[Campaign_Name]],"_")</f>
        <v>Wide</v>
      </c>
      <c r="G291" t="str">
        <f>IF(ISNUMBER(SEARCH("Tier1",Table1[[#This Row],[Campaign_Name]])),"Tier1",IF(ISNUMBER(SEARCH("Tier2",Table1[[#This Row],[Campaign_Name]])),"Tier2","Not Applicable"))</f>
        <v>Not Applicable</v>
      </c>
      <c r="H291" t="s">
        <v>47</v>
      </c>
      <c r="I291" s="3">
        <v>1487.24</v>
      </c>
      <c r="J291" s="7">
        <v>40004</v>
      </c>
      <c r="K291" s="7">
        <v>243</v>
      </c>
      <c r="L291" s="7">
        <v>5</v>
      </c>
      <c r="M291" s="7">
        <v>0</v>
      </c>
      <c r="N291" s="2">
        <v>0</v>
      </c>
      <c r="O291" s="6">
        <f>Table1[[#This Row],[Clicks]]/Table1[[#This Row],[Impressions]]</f>
        <v>6.0743925607439258E-3</v>
      </c>
      <c r="P291" s="6">
        <f>Table1[[#This Row],[Leads]]/Table1[[#This Row],[Clicks]]</f>
        <v>2.0576131687242798E-2</v>
      </c>
      <c r="Q291" s="6" t="str">
        <f>IF(Table1[[#This Row],[Conversion1]]&gt;=2%,"High","Low")</f>
        <v>High</v>
      </c>
      <c r="R291" s="6">
        <f>IFERROR(Table1[[#This Row],[Orders]]/Table1[[#This Row],[Leads]],0)</f>
        <v>0</v>
      </c>
      <c r="S291" s="6" t="str">
        <f>IF(Table1[[#This Row],[Conversion2]]&gt;=15%,"High","Low")</f>
        <v>Low</v>
      </c>
      <c r="T291" s="4">
        <f>IFERROR(Table1[[#This Row],[Revenue]]/Table1[[#This Row],[Orders]],0)</f>
        <v>0</v>
      </c>
      <c r="U291" s="4">
        <f>Table1[[#This Row],[Market_Budget]]/Table1[[#This Row],[Clicks]]</f>
        <v>6.1203292181069955</v>
      </c>
      <c r="V291" s="4">
        <f>IFERROR(Table1[[#This Row],[Market_Budget]]/Table1[[#This Row],[Leads]],0)</f>
        <v>297.44799999999998</v>
      </c>
      <c r="W291" s="4">
        <f>IFERROR(Table1[[#This Row],[Market_Budget]]/Table1[[#This Row],[Orders]],0)</f>
        <v>0</v>
      </c>
      <c r="X291" s="15">
        <f>(Table1[[#This Row],[Revenue]]-Table1[[#This Row],[Market_Budget]])/Table1[[#This Row],[Market_Budget]]</f>
        <v>-1</v>
      </c>
      <c r="Y291" s="5">
        <f>Table1[[#This Row],[Revenue]]-Table1[[#This Row],[Market_Budget]]</f>
        <v>-1487.24</v>
      </c>
    </row>
    <row r="292" spans="1:25" x14ac:dyDescent="0.35">
      <c r="A292">
        <v>10934</v>
      </c>
      <c r="B292" s="1">
        <v>44254</v>
      </c>
      <c r="C292" s="1" t="str">
        <f>TEXT(Table1[[#This Row],[Date]],"dddd")</f>
        <v>Saturday</v>
      </c>
      <c r="D292" s="1" t="str">
        <f>IF(WEEKDAY(Table1[[#This Row],[Date]],2)&gt;5,"Weekend","Weekday")</f>
        <v>Weekend</v>
      </c>
      <c r="E292" t="s">
        <v>40</v>
      </c>
      <c r="F292" t="str">
        <f>_xlfn.TEXTAFTER(Table1[[#This Row],[Campaign_Name]],"_")</f>
        <v>Blogger</v>
      </c>
      <c r="G292" t="str">
        <f>IF(ISNUMBER(SEARCH("Tier1",Table1[[#This Row],[Campaign_Name]])),"Tier1",IF(ISNUMBER(SEARCH("Tier2",Table1[[#This Row],[Campaign_Name]])),"Tier2","Not Applicable"))</f>
        <v>Not Applicable</v>
      </c>
      <c r="H292" t="s">
        <v>48</v>
      </c>
      <c r="I292" s="3">
        <v>5721.83</v>
      </c>
      <c r="J292" s="7">
        <v>44000</v>
      </c>
      <c r="K292" s="7">
        <v>440</v>
      </c>
      <c r="L292" s="7">
        <v>15</v>
      </c>
      <c r="M292" s="7">
        <v>3</v>
      </c>
      <c r="N292" s="2">
        <v>23943</v>
      </c>
      <c r="O292" s="6">
        <f>Table1[[#This Row],[Clicks]]/Table1[[#This Row],[Impressions]]</f>
        <v>0.01</v>
      </c>
      <c r="P292" s="6">
        <f>Table1[[#This Row],[Leads]]/Table1[[#This Row],[Clicks]]</f>
        <v>3.4090909090909088E-2</v>
      </c>
      <c r="Q292" s="6" t="str">
        <f>IF(Table1[[#This Row],[Conversion1]]&gt;=2%,"High","Low")</f>
        <v>High</v>
      </c>
      <c r="R292" s="6">
        <f>IFERROR(Table1[[#This Row],[Orders]]/Table1[[#This Row],[Leads]],0)</f>
        <v>0.2</v>
      </c>
      <c r="S292" s="6" t="str">
        <f>IF(Table1[[#This Row],[Conversion2]]&gt;=15%,"High","Low")</f>
        <v>High</v>
      </c>
      <c r="T292" s="4">
        <f>IFERROR(Table1[[#This Row],[Revenue]]/Table1[[#This Row],[Orders]],0)</f>
        <v>7981</v>
      </c>
      <c r="U292" s="4">
        <f>Table1[[#This Row],[Market_Budget]]/Table1[[#This Row],[Clicks]]</f>
        <v>13.004159090909091</v>
      </c>
      <c r="V292" s="4">
        <f>IFERROR(Table1[[#This Row],[Market_Budget]]/Table1[[#This Row],[Leads]],0)</f>
        <v>381.45533333333333</v>
      </c>
      <c r="W292" s="4">
        <f>IFERROR(Table1[[#This Row],[Market_Budget]]/Table1[[#This Row],[Orders]],0)</f>
        <v>1907.2766666666666</v>
      </c>
      <c r="X292" s="15">
        <f>(Table1[[#This Row],[Revenue]]-Table1[[#This Row],[Market_Budget]])/Table1[[#This Row],[Market_Budget]]</f>
        <v>3.1845004133293018</v>
      </c>
      <c r="Y292" s="5">
        <f>Table1[[#This Row],[Revenue]]-Table1[[#This Row],[Market_Budget]]</f>
        <v>18221.169999999998</v>
      </c>
    </row>
    <row r="293" spans="1:25" x14ac:dyDescent="0.35">
      <c r="A293">
        <v>9034945</v>
      </c>
      <c r="B293" s="1">
        <v>44254</v>
      </c>
      <c r="C293" s="1" t="str">
        <f>TEXT(Table1[[#This Row],[Date]],"dddd")</f>
        <v>Saturday</v>
      </c>
      <c r="D293" s="1" t="str">
        <f>IF(WEEKDAY(Table1[[#This Row],[Date]],2)&gt;5,"Weekend","Weekday")</f>
        <v>Weekend</v>
      </c>
      <c r="E293" t="s">
        <v>41</v>
      </c>
      <c r="F293" t="str">
        <f>_xlfn.TEXTAFTER(Table1[[#This Row],[Campaign_Name]],"_")</f>
        <v>Tier1</v>
      </c>
      <c r="G293" t="str">
        <f>IF(ISNUMBER(SEARCH("Tier1",Table1[[#This Row],[Campaign_Name]])),"Tier1",IF(ISNUMBER(SEARCH("Tier2",Table1[[#This Row],[Campaign_Name]])),"Tier2","Not Applicable"))</f>
        <v>Tier1</v>
      </c>
      <c r="H293" t="s">
        <v>61</v>
      </c>
      <c r="I293" s="3">
        <v>1832.16</v>
      </c>
      <c r="J293" s="7">
        <v>44112</v>
      </c>
      <c r="K293" s="7">
        <v>275</v>
      </c>
      <c r="L293" s="7">
        <v>6</v>
      </c>
      <c r="M293" s="7">
        <v>1</v>
      </c>
      <c r="N293" s="2">
        <v>5981</v>
      </c>
      <c r="O293" s="6">
        <f>Table1[[#This Row],[Clicks]]/Table1[[#This Row],[Impressions]]</f>
        <v>6.234131302140007E-3</v>
      </c>
      <c r="P293" s="6">
        <f>Table1[[#This Row],[Leads]]/Table1[[#This Row],[Clicks]]</f>
        <v>2.181818181818182E-2</v>
      </c>
      <c r="Q293" s="6" t="str">
        <f>IF(Table1[[#This Row],[Conversion1]]&gt;=2%,"High","Low")</f>
        <v>High</v>
      </c>
      <c r="R293" s="6">
        <f>IFERROR(Table1[[#This Row],[Orders]]/Table1[[#This Row],[Leads]],0)</f>
        <v>0.16666666666666666</v>
      </c>
      <c r="S293" s="6" t="str">
        <f>IF(Table1[[#This Row],[Conversion2]]&gt;=15%,"High","Low")</f>
        <v>High</v>
      </c>
      <c r="T293" s="4">
        <f>IFERROR(Table1[[#This Row],[Revenue]]/Table1[[#This Row],[Orders]],0)</f>
        <v>5981</v>
      </c>
      <c r="U293" s="4">
        <f>Table1[[#This Row],[Market_Budget]]/Table1[[#This Row],[Clicks]]</f>
        <v>6.6623999999999999</v>
      </c>
      <c r="V293" s="4">
        <f>IFERROR(Table1[[#This Row],[Market_Budget]]/Table1[[#This Row],[Leads]],0)</f>
        <v>305.36</v>
      </c>
      <c r="W293" s="4">
        <f>IFERROR(Table1[[#This Row],[Market_Budget]]/Table1[[#This Row],[Orders]],0)</f>
        <v>1832.16</v>
      </c>
      <c r="X293" s="15">
        <f>(Table1[[#This Row],[Revenue]]-Table1[[#This Row],[Market_Budget]])/Table1[[#This Row],[Market_Budget]]</f>
        <v>2.2644528862108113</v>
      </c>
      <c r="Y293" s="5">
        <f>Table1[[#This Row],[Revenue]]-Table1[[#This Row],[Market_Budget]]</f>
        <v>4148.84</v>
      </c>
    </row>
    <row r="294" spans="1:25" x14ac:dyDescent="0.35">
      <c r="A294">
        <v>983498</v>
      </c>
      <c r="B294" s="1">
        <v>44254</v>
      </c>
      <c r="C294" s="1" t="str">
        <f>TEXT(Table1[[#This Row],[Date]],"dddd")</f>
        <v>Saturday</v>
      </c>
      <c r="D294" s="1" t="str">
        <f>IF(WEEKDAY(Table1[[#This Row],[Date]],2)&gt;5,"Weekend","Weekday")</f>
        <v>Weekend</v>
      </c>
      <c r="E294" t="s">
        <v>42</v>
      </c>
      <c r="F294" t="str">
        <f>_xlfn.TEXTAFTER(Table1[[#This Row],[Campaign_Name]],"_")</f>
        <v>Tier2</v>
      </c>
      <c r="G294" t="str">
        <f>IF(ISNUMBER(SEARCH("Tier1",Table1[[#This Row],[Campaign_Name]])),"Tier1",IF(ISNUMBER(SEARCH("Tier2",Table1[[#This Row],[Campaign_Name]])),"Tier2","Not Applicable"))</f>
        <v>Tier2</v>
      </c>
      <c r="H294" t="s">
        <v>61</v>
      </c>
      <c r="I294" s="3">
        <v>254.14</v>
      </c>
      <c r="J294" s="7">
        <v>78799</v>
      </c>
      <c r="K294" s="7">
        <v>503</v>
      </c>
      <c r="L294" s="7">
        <v>3</v>
      </c>
      <c r="M294" s="7">
        <v>0</v>
      </c>
      <c r="N294" s="2">
        <v>0</v>
      </c>
      <c r="O294" s="6">
        <f>Table1[[#This Row],[Clicks]]/Table1[[#This Row],[Impressions]]</f>
        <v>6.3833297376870261E-3</v>
      </c>
      <c r="P294" s="6">
        <f>Table1[[#This Row],[Leads]]/Table1[[#This Row],[Clicks]]</f>
        <v>5.9642147117296221E-3</v>
      </c>
      <c r="Q294" s="6" t="str">
        <f>IF(Table1[[#This Row],[Conversion1]]&gt;=2%,"High","Low")</f>
        <v>Low</v>
      </c>
      <c r="R294" s="6">
        <f>IFERROR(Table1[[#This Row],[Orders]]/Table1[[#This Row],[Leads]],0)</f>
        <v>0</v>
      </c>
      <c r="S294" s="6" t="str">
        <f>IF(Table1[[#This Row],[Conversion2]]&gt;=15%,"High","Low")</f>
        <v>Low</v>
      </c>
      <c r="T294" s="4">
        <f>IFERROR(Table1[[#This Row],[Revenue]]/Table1[[#This Row],[Orders]],0)</f>
        <v>0</v>
      </c>
      <c r="U294" s="4">
        <f>Table1[[#This Row],[Market_Budget]]/Table1[[#This Row],[Clicks]]</f>
        <v>0.50524850894632201</v>
      </c>
      <c r="V294" s="4">
        <f>IFERROR(Table1[[#This Row],[Market_Budget]]/Table1[[#This Row],[Leads]],0)</f>
        <v>84.713333333333324</v>
      </c>
      <c r="W294" s="4">
        <f>IFERROR(Table1[[#This Row],[Market_Budget]]/Table1[[#This Row],[Orders]],0)</f>
        <v>0</v>
      </c>
      <c r="X294" s="15">
        <f>(Table1[[#This Row],[Revenue]]-Table1[[#This Row],[Market_Budget]])/Table1[[#This Row],[Market_Budget]]</f>
        <v>-1</v>
      </c>
      <c r="Y294" s="5">
        <f>Table1[[#This Row],[Revenue]]-Table1[[#This Row],[Market_Budget]]</f>
        <v>-254.14</v>
      </c>
    </row>
    <row r="295" spans="1:25" x14ac:dyDescent="0.35">
      <c r="A295">
        <v>4387490</v>
      </c>
      <c r="B295" s="1">
        <v>44254</v>
      </c>
      <c r="C295" s="1" t="str">
        <f>TEXT(Table1[[#This Row],[Date]],"dddd")</f>
        <v>Saturday</v>
      </c>
      <c r="D295" s="1" t="str">
        <f>IF(WEEKDAY(Table1[[#This Row],[Date]],2)&gt;5,"Weekend","Weekday")</f>
        <v>Weekend</v>
      </c>
      <c r="E295" t="s">
        <v>43</v>
      </c>
      <c r="F295" t="str">
        <f>_xlfn.TEXTAFTER(Table1[[#This Row],[Campaign_Name]],"_")</f>
        <v>Retargeting</v>
      </c>
      <c r="G295" t="str">
        <f>IF(ISNUMBER(SEARCH("Tier1",Table1[[#This Row],[Campaign_Name]])),"Tier1",IF(ISNUMBER(SEARCH("Tier2",Table1[[#This Row],[Campaign_Name]])),"Tier2","Not Applicable"))</f>
        <v>Not Applicable</v>
      </c>
      <c r="H295" t="s">
        <v>61</v>
      </c>
      <c r="I295" s="3">
        <v>200.42</v>
      </c>
      <c r="J295" s="7">
        <v>667</v>
      </c>
      <c r="K295" s="7">
        <v>20</v>
      </c>
      <c r="L295" s="7">
        <v>0</v>
      </c>
      <c r="M295" s="7">
        <v>0</v>
      </c>
      <c r="N295" s="2">
        <v>0</v>
      </c>
      <c r="O295" s="6">
        <f>Table1[[#This Row],[Clicks]]/Table1[[#This Row],[Impressions]]</f>
        <v>2.9985007496251874E-2</v>
      </c>
      <c r="P295" s="6">
        <f>Table1[[#This Row],[Leads]]/Table1[[#This Row],[Clicks]]</f>
        <v>0</v>
      </c>
      <c r="Q295" s="6" t="str">
        <f>IF(Table1[[#This Row],[Conversion1]]&gt;=2%,"High","Low")</f>
        <v>Low</v>
      </c>
      <c r="R295" s="6">
        <f>IFERROR(Table1[[#This Row],[Orders]]/Table1[[#This Row],[Leads]],0)</f>
        <v>0</v>
      </c>
      <c r="S295" s="6" t="str">
        <f>IF(Table1[[#This Row],[Conversion2]]&gt;=15%,"High","Low")</f>
        <v>Low</v>
      </c>
      <c r="T295" s="4">
        <f>IFERROR(Table1[[#This Row],[Revenue]]/Table1[[#This Row],[Orders]],0)</f>
        <v>0</v>
      </c>
      <c r="U295" s="4">
        <f>Table1[[#This Row],[Market_Budget]]/Table1[[#This Row],[Clicks]]</f>
        <v>10.020999999999999</v>
      </c>
      <c r="V295" s="4">
        <f>IFERROR(Table1[[#This Row],[Market_Budget]]/Table1[[#This Row],[Leads]],0)</f>
        <v>0</v>
      </c>
      <c r="W295" s="4">
        <f>IFERROR(Table1[[#This Row],[Market_Budget]]/Table1[[#This Row],[Orders]],0)</f>
        <v>0</v>
      </c>
      <c r="X295" s="15">
        <f>(Table1[[#This Row],[Revenue]]-Table1[[#This Row],[Market_Budget]])/Table1[[#This Row],[Market_Budget]]</f>
        <v>-1</v>
      </c>
      <c r="Y295" s="5">
        <f>Table1[[#This Row],[Revenue]]-Table1[[#This Row],[Market_Budget]]</f>
        <v>-200.42</v>
      </c>
    </row>
    <row r="296" spans="1:25" x14ac:dyDescent="0.35">
      <c r="A296">
        <v>544756</v>
      </c>
      <c r="B296" s="1">
        <v>44254</v>
      </c>
      <c r="C296" s="1" t="str">
        <f>TEXT(Table1[[#This Row],[Date]],"dddd")</f>
        <v>Saturday</v>
      </c>
      <c r="D296" s="1" t="str">
        <f>IF(WEEKDAY(Table1[[#This Row],[Date]],2)&gt;5,"Weekend","Weekday")</f>
        <v>Weekend</v>
      </c>
      <c r="E296" t="s">
        <v>44</v>
      </c>
      <c r="F296" t="str">
        <f>_xlfn.TEXTAFTER(Table1[[#This Row],[Campaign_Name]],"_")</f>
        <v>Lal</v>
      </c>
      <c r="G296" t="str">
        <f>IF(ISNUMBER(SEARCH("Tier1",Table1[[#This Row],[Campaign_Name]])),"Tier1",IF(ISNUMBER(SEARCH("Tier2",Table1[[#This Row],[Campaign_Name]])),"Tier2","Not Applicable"))</f>
        <v>Not Applicable</v>
      </c>
      <c r="H296" t="s">
        <v>61</v>
      </c>
      <c r="I296" s="3">
        <v>3098.45</v>
      </c>
      <c r="J296" s="7">
        <v>13693</v>
      </c>
      <c r="K296" s="7">
        <v>115</v>
      </c>
      <c r="L296" s="7">
        <v>2</v>
      </c>
      <c r="M296" s="7">
        <v>0</v>
      </c>
      <c r="N296" s="2">
        <v>0</v>
      </c>
      <c r="O296" s="6">
        <f>Table1[[#This Row],[Clicks]]/Table1[[#This Row],[Impressions]]</f>
        <v>8.3984517636748711E-3</v>
      </c>
      <c r="P296" s="6">
        <f>Table1[[#This Row],[Leads]]/Table1[[#This Row],[Clicks]]</f>
        <v>1.7391304347826087E-2</v>
      </c>
      <c r="Q296" s="6" t="str">
        <f>IF(Table1[[#This Row],[Conversion1]]&gt;=2%,"High","Low")</f>
        <v>Low</v>
      </c>
      <c r="R296" s="6">
        <f>IFERROR(Table1[[#This Row],[Orders]]/Table1[[#This Row],[Leads]],0)</f>
        <v>0</v>
      </c>
      <c r="S296" s="6" t="str">
        <f>IF(Table1[[#This Row],[Conversion2]]&gt;=15%,"High","Low")</f>
        <v>Low</v>
      </c>
      <c r="T296" s="4">
        <f>IFERROR(Table1[[#This Row],[Revenue]]/Table1[[#This Row],[Orders]],0)</f>
        <v>0</v>
      </c>
      <c r="U296" s="4">
        <f>Table1[[#This Row],[Market_Budget]]/Table1[[#This Row],[Clicks]]</f>
        <v>26.943043478260869</v>
      </c>
      <c r="V296" s="4">
        <f>IFERROR(Table1[[#This Row],[Market_Budget]]/Table1[[#This Row],[Leads]],0)</f>
        <v>1549.2249999999999</v>
      </c>
      <c r="W296" s="4">
        <f>IFERROR(Table1[[#This Row],[Market_Budget]]/Table1[[#This Row],[Orders]],0)</f>
        <v>0</v>
      </c>
      <c r="X296" s="15">
        <f>(Table1[[#This Row],[Revenue]]-Table1[[#This Row],[Market_Budget]])/Table1[[#This Row],[Market_Budget]]</f>
        <v>-1</v>
      </c>
      <c r="Y296" s="5">
        <f>Table1[[#This Row],[Revenue]]-Table1[[#This Row],[Market_Budget]]</f>
        <v>-3098.45</v>
      </c>
    </row>
    <row r="297" spans="1:25" x14ac:dyDescent="0.35">
      <c r="A297">
        <v>374754</v>
      </c>
      <c r="B297" s="1">
        <v>44254</v>
      </c>
      <c r="C297" s="1" t="str">
        <f>TEXT(Table1[[#This Row],[Date]],"dddd")</f>
        <v>Saturday</v>
      </c>
      <c r="D297" s="1" t="str">
        <f>IF(WEEKDAY(Table1[[#This Row],[Date]],2)&gt;5,"Weekend","Weekday")</f>
        <v>Weekend</v>
      </c>
      <c r="E297" t="s">
        <v>45</v>
      </c>
      <c r="F297" t="str">
        <f>_xlfn.TEXTAFTER(Table1[[#This Row],[Campaign_Name]],"_")</f>
        <v>Blogger</v>
      </c>
      <c r="G297" t="str">
        <f>IF(ISNUMBER(SEARCH("Tier1",Table1[[#This Row],[Campaign_Name]])),"Tier1",IF(ISNUMBER(SEARCH("Tier2",Table1[[#This Row],[Campaign_Name]])),"Tier2","Not Applicable"))</f>
        <v>Not Applicable</v>
      </c>
      <c r="H297" t="s">
        <v>48</v>
      </c>
      <c r="I297" s="3">
        <v>3524.08</v>
      </c>
      <c r="J297" s="7">
        <v>24018</v>
      </c>
      <c r="K297" s="7">
        <v>298</v>
      </c>
      <c r="L297" s="7">
        <v>6</v>
      </c>
      <c r="M297" s="7">
        <v>1</v>
      </c>
      <c r="N297" s="2">
        <v>4661</v>
      </c>
      <c r="O297" s="6">
        <f>Table1[[#This Row],[Clicks]]/Table1[[#This Row],[Impressions]]</f>
        <v>1.2407361145807311E-2</v>
      </c>
      <c r="P297" s="6">
        <f>Table1[[#This Row],[Leads]]/Table1[[#This Row],[Clicks]]</f>
        <v>2.0134228187919462E-2</v>
      </c>
      <c r="Q297" s="6" t="str">
        <f>IF(Table1[[#This Row],[Conversion1]]&gt;=2%,"High","Low")</f>
        <v>High</v>
      </c>
      <c r="R297" s="6">
        <f>IFERROR(Table1[[#This Row],[Orders]]/Table1[[#This Row],[Leads]],0)</f>
        <v>0.16666666666666666</v>
      </c>
      <c r="S297" s="6" t="str">
        <f>IF(Table1[[#This Row],[Conversion2]]&gt;=15%,"High","Low")</f>
        <v>High</v>
      </c>
      <c r="T297" s="4">
        <f>IFERROR(Table1[[#This Row],[Revenue]]/Table1[[#This Row],[Orders]],0)</f>
        <v>4661</v>
      </c>
      <c r="U297" s="4">
        <f>Table1[[#This Row],[Market_Budget]]/Table1[[#This Row],[Clicks]]</f>
        <v>11.825771812080538</v>
      </c>
      <c r="V297" s="4">
        <f>IFERROR(Table1[[#This Row],[Market_Budget]]/Table1[[#This Row],[Leads]],0)</f>
        <v>587.34666666666669</v>
      </c>
      <c r="W297" s="4">
        <f>IFERROR(Table1[[#This Row],[Market_Budget]]/Table1[[#This Row],[Orders]],0)</f>
        <v>3524.08</v>
      </c>
      <c r="X297" s="15">
        <f>(Table1[[#This Row],[Revenue]]-Table1[[#This Row],[Market_Budget]])/Table1[[#This Row],[Market_Budget]]</f>
        <v>0.32261469660166625</v>
      </c>
      <c r="Y297" s="5">
        <f>Table1[[#This Row],[Revenue]]-Table1[[#This Row],[Market_Budget]]</f>
        <v>1136.92</v>
      </c>
    </row>
    <row r="298" spans="1:25" x14ac:dyDescent="0.35">
      <c r="A298">
        <v>39889</v>
      </c>
      <c r="B298" s="1">
        <v>44254</v>
      </c>
      <c r="C298" s="1" t="str">
        <f>TEXT(Table1[[#This Row],[Date]],"dddd")</f>
        <v>Saturday</v>
      </c>
      <c r="D298" s="1" t="str">
        <f>IF(WEEKDAY(Table1[[#This Row],[Date]],2)&gt;5,"Weekend","Weekday")</f>
        <v>Weekend</v>
      </c>
      <c r="E298" t="s">
        <v>46</v>
      </c>
      <c r="F298" t="str">
        <f>_xlfn.TEXTAFTER(Table1[[#This Row],[Campaign_Name]],"_")</f>
        <v>Partner</v>
      </c>
      <c r="G298" t="str">
        <f>IF(ISNUMBER(SEARCH("Tier1",Table1[[#This Row],[Campaign_Name]])),"Tier1",IF(ISNUMBER(SEARCH("Tier2",Table1[[#This Row],[Campaign_Name]])),"Tier2","Not Applicable"))</f>
        <v>Not Applicable</v>
      </c>
      <c r="H298" t="s">
        <v>62</v>
      </c>
      <c r="I298" s="3">
        <v>2791.06</v>
      </c>
      <c r="J298" s="7">
        <v>182546</v>
      </c>
      <c r="K298" s="7">
        <v>426</v>
      </c>
      <c r="L298" s="7">
        <v>9</v>
      </c>
      <c r="M298" s="7">
        <v>1</v>
      </c>
      <c r="N298" s="2">
        <v>3981</v>
      </c>
      <c r="O298" s="6">
        <f>Table1[[#This Row],[Clicks]]/Table1[[#This Row],[Impressions]]</f>
        <v>2.3336583655626528E-3</v>
      </c>
      <c r="P298" s="6">
        <f>Table1[[#This Row],[Leads]]/Table1[[#This Row],[Clicks]]</f>
        <v>2.1126760563380281E-2</v>
      </c>
      <c r="Q298" s="6" t="str">
        <f>IF(Table1[[#This Row],[Conversion1]]&gt;=2%,"High","Low")</f>
        <v>High</v>
      </c>
      <c r="R298" s="6">
        <f>IFERROR(Table1[[#This Row],[Orders]]/Table1[[#This Row],[Leads]],0)</f>
        <v>0.1111111111111111</v>
      </c>
      <c r="S298" s="6" t="str">
        <f>IF(Table1[[#This Row],[Conversion2]]&gt;=15%,"High","Low")</f>
        <v>Low</v>
      </c>
      <c r="T298" s="4">
        <f>IFERROR(Table1[[#This Row],[Revenue]]/Table1[[#This Row],[Orders]],0)</f>
        <v>3981</v>
      </c>
      <c r="U298" s="4">
        <f>Table1[[#This Row],[Market_Budget]]/Table1[[#This Row],[Clicks]]</f>
        <v>6.5517840375586855</v>
      </c>
      <c r="V298" s="4">
        <f>IFERROR(Table1[[#This Row],[Market_Budget]]/Table1[[#This Row],[Leads]],0)</f>
        <v>310.11777777777775</v>
      </c>
      <c r="W298" s="4">
        <f>IFERROR(Table1[[#This Row],[Market_Budget]]/Table1[[#This Row],[Orders]],0)</f>
        <v>2791.06</v>
      </c>
      <c r="X298" s="15">
        <f>(Table1[[#This Row],[Revenue]]-Table1[[#This Row],[Market_Budget]])/Table1[[#This Row],[Market_Budget]]</f>
        <v>0.42633981354754108</v>
      </c>
      <c r="Y298" s="5">
        <f>Table1[[#This Row],[Revenue]]-Table1[[#This Row],[Market_Budget]]</f>
        <v>1189.94</v>
      </c>
    </row>
    <row r="299" spans="1:25" x14ac:dyDescent="0.35">
      <c r="A299">
        <v>349043</v>
      </c>
      <c r="B299" s="1">
        <v>44255</v>
      </c>
      <c r="C299" s="1" t="str">
        <f>TEXT(Table1[[#This Row],[Date]],"dddd")</f>
        <v>Sunday</v>
      </c>
      <c r="D299" s="1" t="str">
        <f>IF(WEEKDAY(Table1[[#This Row],[Date]],2)&gt;5,"Weekend","Weekday")</f>
        <v>Weekend</v>
      </c>
      <c r="E299" t="s">
        <v>36</v>
      </c>
      <c r="F299" t="str">
        <f>_xlfn.TEXTAFTER(Table1[[#This Row],[Campaign_Name]],"_")</f>
        <v>Tier1</v>
      </c>
      <c r="G299" t="str">
        <f>IF(ISNUMBER(SEARCH("Tier1",Table1[[#This Row],[Campaign_Name]])),"Tier1",IF(ISNUMBER(SEARCH("Tier2",Table1[[#This Row],[Campaign_Name]])),"Tier2","Not Applicable"))</f>
        <v>Tier1</v>
      </c>
      <c r="H299" t="s">
        <v>61</v>
      </c>
      <c r="I299" s="3">
        <v>6440.5</v>
      </c>
      <c r="J299" s="7">
        <v>97200</v>
      </c>
      <c r="K299" s="7">
        <v>486</v>
      </c>
      <c r="L299" s="7">
        <v>11</v>
      </c>
      <c r="M299" s="7">
        <v>1</v>
      </c>
      <c r="N299" s="2">
        <v>4981</v>
      </c>
      <c r="O299" s="6">
        <f>Table1[[#This Row],[Clicks]]/Table1[[#This Row],[Impressions]]</f>
        <v>5.0000000000000001E-3</v>
      </c>
      <c r="P299" s="6">
        <f>Table1[[#This Row],[Leads]]/Table1[[#This Row],[Clicks]]</f>
        <v>2.2633744855967079E-2</v>
      </c>
      <c r="Q299" s="6" t="str">
        <f>IF(Table1[[#This Row],[Conversion1]]&gt;=2%,"High","Low")</f>
        <v>High</v>
      </c>
      <c r="R299" s="6">
        <f>IFERROR(Table1[[#This Row],[Orders]]/Table1[[#This Row],[Leads]],0)</f>
        <v>9.0909090909090912E-2</v>
      </c>
      <c r="S299" s="6" t="str">
        <f>IF(Table1[[#This Row],[Conversion2]]&gt;=15%,"High","Low")</f>
        <v>Low</v>
      </c>
      <c r="T299" s="4">
        <f>IFERROR(Table1[[#This Row],[Revenue]]/Table1[[#This Row],[Orders]],0)</f>
        <v>4981</v>
      </c>
      <c r="U299" s="4">
        <f>Table1[[#This Row],[Market_Budget]]/Table1[[#This Row],[Clicks]]</f>
        <v>13.252057613168724</v>
      </c>
      <c r="V299" s="4">
        <f>IFERROR(Table1[[#This Row],[Market_Budget]]/Table1[[#This Row],[Leads]],0)</f>
        <v>585.5</v>
      </c>
      <c r="W299" s="4">
        <f>IFERROR(Table1[[#This Row],[Market_Budget]]/Table1[[#This Row],[Orders]],0)</f>
        <v>6440.5</v>
      </c>
      <c r="X299" s="15">
        <f>(Table1[[#This Row],[Revenue]]-Table1[[#This Row],[Market_Budget]])/Table1[[#This Row],[Market_Budget]]</f>
        <v>-0.22661284061796444</v>
      </c>
      <c r="Y299" s="5">
        <f>Table1[[#This Row],[Revenue]]-Table1[[#This Row],[Market_Budget]]</f>
        <v>-1459.5</v>
      </c>
    </row>
    <row r="300" spans="1:25" x14ac:dyDescent="0.35">
      <c r="A300">
        <v>348934</v>
      </c>
      <c r="B300" s="1">
        <v>44255</v>
      </c>
      <c r="C300" s="1" t="str">
        <f>TEXT(Table1[[#This Row],[Date]],"dddd")</f>
        <v>Sunday</v>
      </c>
      <c r="D300" s="1" t="str">
        <f>IF(WEEKDAY(Table1[[#This Row],[Date]],2)&gt;5,"Weekend","Weekday")</f>
        <v>Weekend</v>
      </c>
      <c r="E300" t="s">
        <v>37</v>
      </c>
      <c r="F300" t="str">
        <f>_xlfn.TEXTAFTER(Table1[[#This Row],[Campaign_Name]],"_")</f>
        <v>Tier2</v>
      </c>
      <c r="G300" t="str">
        <f>IF(ISNUMBER(SEARCH("Tier1",Table1[[#This Row],[Campaign_Name]])),"Tier1",IF(ISNUMBER(SEARCH("Tier2",Table1[[#This Row],[Campaign_Name]])),"Tier2","Not Applicable"))</f>
        <v>Tier2</v>
      </c>
      <c r="H300" t="s">
        <v>61</v>
      </c>
      <c r="I300" s="3">
        <v>8665.5499999999993</v>
      </c>
      <c r="J300" s="7">
        <v>132200</v>
      </c>
      <c r="K300" s="7">
        <v>661</v>
      </c>
      <c r="L300" s="7">
        <v>13</v>
      </c>
      <c r="M300" s="7">
        <v>1</v>
      </c>
      <c r="N300" s="2">
        <v>5509</v>
      </c>
      <c r="O300" s="6">
        <f>Table1[[#This Row],[Clicks]]/Table1[[#This Row],[Impressions]]</f>
        <v>5.0000000000000001E-3</v>
      </c>
      <c r="P300" s="6">
        <f>Table1[[#This Row],[Leads]]/Table1[[#This Row],[Clicks]]</f>
        <v>1.9667170953101363E-2</v>
      </c>
      <c r="Q300" s="6" t="str">
        <f>IF(Table1[[#This Row],[Conversion1]]&gt;=2%,"High","Low")</f>
        <v>Low</v>
      </c>
      <c r="R300" s="6">
        <f>IFERROR(Table1[[#This Row],[Orders]]/Table1[[#This Row],[Leads]],0)</f>
        <v>7.6923076923076927E-2</v>
      </c>
      <c r="S300" s="6" t="str">
        <f>IF(Table1[[#This Row],[Conversion2]]&gt;=15%,"High","Low")</f>
        <v>Low</v>
      </c>
      <c r="T300" s="4">
        <f>IFERROR(Table1[[#This Row],[Revenue]]/Table1[[#This Row],[Orders]],0)</f>
        <v>5509</v>
      </c>
      <c r="U300" s="4">
        <f>Table1[[#This Row],[Market_Budget]]/Table1[[#This Row],[Clicks]]</f>
        <v>13.109757942511346</v>
      </c>
      <c r="V300" s="4">
        <f>IFERROR(Table1[[#This Row],[Market_Budget]]/Table1[[#This Row],[Leads]],0)</f>
        <v>666.58076923076919</v>
      </c>
      <c r="W300" s="4">
        <f>IFERROR(Table1[[#This Row],[Market_Budget]]/Table1[[#This Row],[Orders]],0)</f>
        <v>8665.5499999999993</v>
      </c>
      <c r="X300" s="15">
        <f>(Table1[[#This Row],[Revenue]]-Table1[[#This Row],[Market_Budget]])/Table1[[#This Row],[Market_Budget]]</f>
        <v>-0.36426424173883937</v>
      </c>
      <c r="Y300" s="5">
        <f>Table1[[#This Row],[Revenue]]-Table1[[#This Row],[Market_Budget]]</f>
        <v>-3156.5499999999993</v>
      </c>
    </row>
    <row r="301" spans="1:25" x14ac:dyDescent="0.35">
      <c r="A301">
        <v>89459845</v>
      </c>
      <c r="B301" s="1">
        <v>44255</v>
      </c>
      <c r="C301" s="1" t="str">
        <f>TEXT(Table1[[#This Row],[Date]],"dddd")</f>
        <v>Sunday</v>
      </c>
      <c r="D301" s="1" t="str">
        <f>IF(WEEKDAY(Table1[[#This Row],[Date]],2)&gt;5,"Weekend","Weekday")</f>
        <v>Weekend</v>
      </c>
      <c r="E301" t="s">
        <v>38</v>
      </c>
      <c r="F301" t="str">
        <f>_xlfn.TEXTAFTER(Table1[[#This Row],[Campaign_Name]],"_")</f>
        <v>Hot</v>
      </c>
      <c r="G301" t="str">
        <f>IF(ISNUMBER(SEARCH("Tier1",Table1[[#This Row],[Campaign_Name]])),"Tier1",IF(ISNUMBER(SEARCH("Tier2",Table1[[#This Row],[Campaign_Name]])),"Tier2","Not Applicable"))</f>
        <v>Not Applicable</v>
      </c>
      <c r="H301" t="s">
        <v>47</v>
      </c>
      <c r="I301" s="3">
        <v>3529.73</v>
      </c>
      <c r="J301" s="7">
        <v>11554</v>
      </c>
      <c r="K301" s="7">
        <v>187</v>
      </c>
      <c r="L301" s="7">
        <v>5</v>
      </c>
      <c r="M301" s="7">
        <v>1</v>
      </c>
      <c r="N301" s="2">
        <v>8714</v>
      </c>
      <c r="O301" s="6">
        <f>Table1[[#This Row],[Clicks]]/Table1[[#This Row],[Impressions]]</f>
        <v>1.6184871040332352E-2</v>
      </c>
      <c r="P301" s="6">
        <f>Table1[[#This Row],[Leads]]/Table1[[#This Row],[Clicks]]</f>
        <v>2.6737967914438502E-2</v>
      </c>
      <c r="Q301" s="6" t="str">
        <f>IF(Table1[[#This Row],[Conversion1]]&gt;=2%,"High","Low")</f>
        <v>High</v>
      </c>
      <c r="R301" s="6">
        <f>IFERROR(Table1[[#This Row],[Orders]]/Table1[[#This Row],[Leads]],0)</f>
        <v>0.2</v>
      </c>
      <c r="S301" s="6" t="str">
        <f>IF(Table1[[#This Row],[Conversion2]]&gt;=15%,"High","Low")</f>
        <v>High</v>
      </c>
      <c r="T301" s="4">
        <f>IFERROR(Table1[[#This Row],[Revenue]]/Table1[[#This Row],[Orders]],0)</f>
        <v>8714</v>
      </c>
      <c r="U301" s="4">
        <f>Table1[[#This Row],[Market_Budget]]/Table1[[#This Row],[Clicks]]</f>
        <v>18.875561497326203</v>
      </c>
      <c r="V301" s="4">
        <f>IFERROR(Table1[[#This Row],[Market_Budget]]/Table1[[#This Row],[Leads]],0)</f>
        <v>705.94600000000003</v>
      </c>
      <c r="W301" s="4">
        <f>IFERROR(Table1[[#This Row],[Market_Budget]]/Table1[[#This Row],[Orders]],0)</f>
        <v>3529.73</v>
      </c>
      <c r="X301" s="15">
        <f>(Table1[[#This Row],[Revenue]]-Table1[[#This Row],[Market_Budget]])/Table1[[#This Row],[Market_Budget]]</f>
        <v>1.4687440682431803</v>
      </c>
      <c r="Y301" s="5">
        <f>Table1[[#This Row],[Revenue]]-Table1[[#This Row],[Market_Budget]]</f>
        <v>5184.2700000000004</v>
      </c>
    </row>
    <row r="302" spans="1:25" x14ac:dyDescent="0.35">
      <c r="A302">
        <v>127823</v>
      </c>
      <c r="B302" s="1">
        <v>44255</v>
      </c>
      <c r="C302" s="1" t="str">
        <f>TEXT(Table1[[#This Row],[Date]],"dddd")</f>
        <v>Sunday</v>
      </c>
      <c r="D302" s="1" t="str">
        <f>IF(WEEKDAY(Table1[[#This Row],[Date]],2)&gt;5,"Weekend","Weekday")</f>
        <v>Weekend</v>
      </c>
      <c r="E302" t="s">
        <v>39</v>
      </c>
      <c r="F302" t="str">
        <f>_xlfn.TEXTAFTER(Table1[[#This Row],[Campaign_Name]],"_")</f>
        <v>Wide</v>
      </c>
      <c r="G302" t="str">
        <f>IF(ISNUMBER(SEARCH("Tier1",Table1[[#This Row],[Campaign_Name]])),"Tier1",IF(ISNUMBER(SEARCH("Tier2",Table1[[#This Row],[Campaign_Name]])),"Tier2","Not Applicable"))</f>
        <v>Not Applicable</v>
      </c>
      <c r="H302" t="s">
        <v>47</v>
      </c>
      <c r="I302" s="3">
        <v>384.75</v>
      </c>
      <c r="J302" s="7">
        <v>55625</v>
      </c>
      <c r="K302" s="7">
        <v>487</v>
      </c>
      <c r="L302" s="7">
        <v>1</v>
      </c>
      <c r="M302" s="7">
        <v>0</v>
      </c>
      <c r="N302" s="2">
        <v>0</v>
      </c>
      <c r="O302" s="6">
        <f>Table1[[#This Row],[Clicks]]/Table1[[#This Row],[Impressions]]</f>
        <v>8.7550561797752804E-3</v>
      </c>
      <c r="P302" s="6">
        <f>Table1[[#This Row],[Leads]]/Table1[[#This Row],[Clicks]]</f>
        <v>2.0533880903490761E-3</v>
      </c>
      <c r="Q302" s="6" t="str">
        <f>IF(Table1[[#This Row],[Conversion1]]&gt;=2%,"High","Low")</f>
        <v>Low</v>
      </c>
      <c r="R302" s="6">
        <f>IFERROR(Table1[[#This Row],[Orders]]/Table1[[#This Row],[Leads]],0)</f>
        <v>0</v>
      </c>
      <c r="S302" s="6" t="str">
        <f>IF(Table1[[#This Row],[Conversion2]]&gt;=15%,"High","Low")</f>
        <v>Low</v>
      </c>
      <c r="T302" s="4">
        <f>IFERROR(Table1[[#This Row],[Revenue]]/Table1[[#This Row],[Orders]],0)</f>
        <v>0</v>
      </c>
      <c r="U302" s="4">
        <f>Table1[[#This Row],[Market_Budget]]/Table1[[#This Row],[Clicks]]</f>
        <v>0.79004106776180694</v>
      </c>
      <c r="V302" s="4">
        <f>IFERROR(Table1[[#This Row],[Market_Budget]]/Table1[[#This Row],[Leads]],0)</f>
        <v>384.75</v>
      </c>
      <c r="W302" s="4">
        <f>IFERROR(Table1[[#This Row],[Market_Budget]]/Table1[[#This Row],[Orders]],0)</f>
        <v>0</v>
      </c>
      <c r="X302" s="15">
        <f>(Table1[[#This Row],[Revenue]]-Table1[[#This Row],[Market_Budget]])/Table1[[#This Row],[Market_Budget]]</f>
        <v>-1</v>
      </c>
      <c r="Y302" s="5">
        <f>Table1[[#This Row],[Revenue]]-Table1[[#This Row],[Market_Budget]]</f>
        <v>-384.75</v>
      </c>
    </row>
    <row r="303" spans="1:25" x14ac:dyDescent="0.35">
      <c r="A303">
        <v>10934</v>
      </c>
      <c r="B303" s="1">
        <v>44255</v>
      </c>
      <c r="C303" s="1" t="str">
        <f>TEXT(Table1[[#This Row],[Date]],"dddd")</f>
        <v>Sunday</v>
      </c>
      <c r="D303" s="1" t="str">
        <f>IF(WEEKDAY(Table1[[#This Row],[Date]],2)&gt;5,"Weekend","Weekday")</f>
        <v>Weekend</v>
      </c>
      <c r="E303" t="s">
        <v>40</v>
      </c>
      <c r="F303" t="str">
        <f>_xlfn.TEXTAFTER(Table1[[#This Row],[Campaign_Name]],"_")</f>
        <v>Blogger</v>
      </c>
      <c r="G303" t="str">
        <f>IF(ISNUMBER(SEARCH("Tier1",Table1[[#This Row],[Campaign_Name]])),"Tier1",IF(ISNUMBER(SEARCH("Tier2",Table1[[#This Row],[Campaign_Name]])),"Tier2","Not Applicable"))</f>
        <v>Not Applicable</v>
      </c>
      <c r="H303" t="s">
        <v>48</v>
      </c>
      <c r="I303" s="3">
        <v>9892.77</v>
      </c>
      <c r="J303" s="7">
        <v>129025</v>
      </c>
      <c r="K303" s="7">
        <v>909</v>
      </c>
      <c r="L303" s="7">
        <v>21</v>
      </c>
      <c r="M303" s="7">
        <v>5</v>
      </c>
      <c r="N303" s="2">
        <v>37450</v>
      </c>
      <c r="O303" s="6">
        <f>Table1[[#This Row],[Clicks]]/Table1[[#This Row],[Impressions]]</f>
        <v>7.0451462894787834E-3</v>
      </c>
      <c r="P303" s="6">
        <f>Table1[[#This Row],[Leads]]/Table1[[#This Row],[Clicks]]</f>
        <v>2.3102310231023101E-2</v>
      </c>
      <c r="Q303" s="6" t="str">
        <f>IF(Table1[[#This Row],[Conversion1]]&gt;=2%,"High","Low")</f>
        <v>High</v>
      </c>
      <c r="R303" s="6">
        <f>IFERROR(Table1[[#This Row],[Orders]]/Table1[[#This Row],[Leads]],0)</f>
        <v>0.23809523809523808</v>
      </c>
      <c r="S303" s="6" t="str">
        <f>IF(Table1[[#This Row],[Conversion2]]&gt;=15%,"High","Low")</f>
        <v>High</v>
      </c>
      <c r="T303" s="4">
        <f>IFERROR(Table1[[#This Row],[Revenue]]/Table1[[#This Row],[Orders]],0)</f>
        <v>7490</v>
      </c>
      <c r="U303" s="4">
        <f>Table1[[#This Row],[Market_Budget]]/Table1[[#This Row],[Clicks]]</f>
        <v>10.883135313531353</v>
      </c>
      <c r="V303" s="4">
        <f>IFERROR(Table1[[#This Row],[Market_Budget]]/Table1[[#This Row],[Leads]],0)</f>
        <v>471.08428571428573</v>
      </c>
      <c r="W303" s="4">
        <f>IFERROR(Table1[[#This Row],[Market_Budget]]/Table1[[#This Row],[Orders]],0)</f>
        <v>1978.5540000000001</v>
      </c>
      <c r="X303" s="15">
        <f>(Table1[[#This Row],[Revenue]]-Table1[[#This Row],[Market_Budget]])/Table1[[#This Row],[Market_Budget]]</f>
        <v>2.7855929128039971</v>
      </c>
      <c r="Y303" s="5">
        <f>Table1[[#This Row],[Revenue]]-Table1[[#This Row],[Market_Budget]]</f>
        <v>27557.23</v>
      </c>
    </row>
    <row r="304" spans="1:25" x14ac:dyDescent="0.35">
      <c r="A304">
        <v>9034945</v>
      </c>
      <c r="B304" s="1">
        <v>44255</v>
      </c>
      <c r="C304" s="1" t="str">
        <f>TEXT(Table1[[#This Row],[Date]],"dddd")</f>
        <v>Sunday</v>
      </c>
      <c r="D304" s="1" t="str">
        <f>IF(WEEKDAY(Table1[[#This Row],[Date]],2)&gt;5,"Weekend","Weekday")</f>
        <v>Weekend</v>
      </c>
      <c r="E304" t="s">
        <v>41</v>
      </c>
      <c r="F304" t="str">
        <f>_xlfn.TEXTAFTER(Table1[[#This Row],[Campaign_Name]],"_")</f>
        <v>Tier1</v>
      </c>
      <c r="G304" t="str">
        <f>IF(ISNUMBER(SEARCH("Tier1",Table1[[#This Row],[Campaign_Name]])),"Tier1",IF(ISNUMBER(SEARCH("Tier2",Table1[[#This Row],[Campaign_Name]])),"Tier2","Not Applicable"))</f>
        <v>Tier1</v>
      </c>
      <c r="H304" t="s">
        <v>61</v>
      </c>
      <c r="I304" s="3">
        <v>4950.74</v>
      </c>
      <c r="J304" s="7">
        <v>63566</v>
      </c>
      <c r="K304" s="7">
        <v>546</v>
      </c>
      <c r="L304" s="7">
        <v>12</v>
      </c>
      <c r="M304" s="7">
        <v>1</v>
      </c>
      <c r="N304" s="2">
        <v>5981</v>
      </c>
      <c r="O304" s="6">
        <f>Table1[[#This Row],[Clicks]]/Table1[[#This Row],[Impressions]]</f>
        <v>8.5894975301261684E-3</v>
      </c>
      <c r="P304" s="6">
        <f>Table1[[#This Row],[Leads]]/Table1[[#This Row],[Clicks]]</f>
        <v>2.197802197802198E-2</v>
      </c>
      <c r="Q304" s="6" t="str">
        <f>IF(Table1[[#This Row],[Conversion1]]&gt;=2%,"High","Low")</f>
        <v>High</v>
      </c>
      <c r="R304" s="6">
        <f>IFERROR(Table1[[#This Row],[Orders]]/Table1[[#This Row],[Leads]],0)</f>
        <v>8.3333333333333329E-2</v>
      </c>
      <c r="S304" s="6" t="str">
        <f>IF(Table1[[#This Row],[Conversion2]]&gt;=15%,"High","Low")</f>
        <v>Low</v>
      </c>
      <c r="T304" s="4">
        <f>IFERROR(Table1[[#This Row],[Revenue]]/Table1[[#This Row],[Orders]],0)</f>
        <v>5981</v>
      </c>
      <c r="U304" s="4">
        <f>Table1[[#This Row],[Market_Budget]]/Table1[[#This Row],[Clicks]]</f>
        <v>9.0672893772893772</v>
      </c>
      <c r="V304" s="4">
        <f>IFERROR(Table1[[#This Row],[Market_Budget]]/Table1[[#This Row],[Leads]],0)</f>
        <v>412.56166666666667</v>
      </c>
      <c r="W304" s="4">
        <f>IFERROR(Table1[[#This Row],[Market_Budget]]/Table1[[#This Row],[Orders]],0)</f>
        <v>4950.74</v>
      </c>
      <c r="X304" s="15">
        <f>(Table1[[#This Row],[Revenue]]-Table1[[#This Row],[Market_Budget]])/Table1[[#This Row],[Market_Budget]]</f>
        <v>0.20810222310200097</v>
      </c>
      <c r="Y304" s="5">
        <f>Table1[[#This Row],[Revenue]]-Table1[[#This Row],[Market_Budget]]</f>
        <v>1030.2600000000002</v>
      </c>
    </row>
    <row r="305" spans="1:25" x14ac:dyDescent="0.35">
      <c r="A305">
        <v>983498</v>
      </c>
      <c r="B305" s="1">
        <v>44255</v>
      </c>
      <c r="C305" s="1" t="str">
        <f>TEXT(Table1[[#This Row],[Date]],"dddd")</f>
        <v>Sunday</v>
      </c>
      <c r="D305" s="1" t="str">
        <f>IF(WEEKDAY(Table1[[#This Row],[Date]],2)&gt;5,"Weekend","Weekday")</f>
        <v>Weekend</v>
      </c>
      <c r="E305" t="s">
        <v>42</v>
      </c>
      <c r="F305" t="str">
        <f>_xlfn.TEXTAFTER(Table1[[#This Row],[Campaign_Name]],"_")</f>
        <v>Tier2</v>
      </c>
      <c r="G305" t="str">
        <f>IF(ISNUMBER(SEARCH("Tier1",Table1[[#This Row],[Campaign_Name]])),"Tier1",IF(ISNUMBER(SEARCH("Tier2",Table1[[#This Row],[Campaign_Name]])),"Tier2","Not Applicable"))</f>
        <v>Tier2</v>
      </c>
      <c r="H305" t="s">
        <v>61</v>
      </c>
      <c r="I305" s="3">
        <v>760.75</v>
      </c>
      <c r="J305" s="7">
        <v>775780</v>
      </c>
      <c r="K305" s="7">
        <v>1024</v>
      </c>
      <c r="L305" s="7">
        <v>4</v>
      </c>
      <c r="M305" s="7">
        <v>0</v>
      </c>
      <c r="N305" s="2">
        <v>0</v>
      </c>
      <c r="O305" s="6">
        <f>Table1[[#This Row],[Clicks]]/Table1[[#This Row],[Impressions]]</f>
        <v>1.3199618448529221E-3</v>
      </c>
      <c r="P305" s="6">
        <f>Table1[[#This Row],[Leads]]/Table1[[#This Row],[Clicks]]</f>
        <v>3.90625E-3</v>
      </c>
      <c r="Q305" s="6" t="str">
        <f>IF(Table1[[#This Row],[Conversion1]]&gt;=2%,"High","Low")</f>
        <v>Low</v>
      </c>
      <c r="R305" s="6">
        <f>IFERROR(Table1[[#This Row],[Orders]]/Table1[[#This Row],[Leads]],0)</f>
        <v>0</v>
      </c>
      <c r="S305" s="6" t="str">
        <f>IF(Table1[[#This Row],[Conversion2]]&gt;=15%,"High","Low")</f>
        <v>Low</v>
      </c>
      <c r="T305" s="4">
        <f>IFERROR(Table1[[#This Row],[Revenue]]/Table1[[#This Row],[Orders]],0)</f>
        <v>0</v>
      </c>
      <c r="U305" s="4">
        <f>Table1[[#This Row],[Market_Budget]]/Table1[[#This Row],[Clicks]]</f>
        <v>0.742919921875</v>
      </c>
      <c r="V305" s="4">
        <f>IFERROR(Table1[[#This Row],[Market_Budget]]/Table1[[#This Row],[Leads]],0)</f>
        <v>190.1875</v>
      </c>
      <c r="W305" s="4">
        <f>IFERROR(Table1[[#This Row],[Market_Budget]]/Table1[[#This Row],[Orders]],0)</f>
        <v>0</v>
      </c>
      <c r="X305" s="15">
        <f>(Table1[[#This Row],[Revenue]]-Table1[[#This Row],[Market_Budget]])/Table1[[#This Row],[Market_Budget]]</f>
        <v>-1</v>
      </c>
      <c r="Y305" s="5">
        <f>Table1[[#This Row],[Revenue]]-Table1[[#This Row],[Market_Budget]]</f>
        <v>-760.75</v>
      </c>
    </row>
    <row r="306" spans="1:25" x14ac:dyDescent="0.35">
      <c r="A306">
        <v>4387490</v>
      </c>
      <c r="B306" s="1">
        <v>44255</v>
      </c>
      <c r="C306" s="1" t="str">
        <f>TEXT(Table1[[#This Row],[Date]],"dddd")</f>
        <v>Sunday</v>
      </c>
      <c r="D306" s="1" t="str">
        <f>IF(WEEKDAY(Table1[[#This Row],[Date]],2)&gt;5,"Weekend","Weekday")</f>
        <v>Weekend</v>
      </c>
      <c r="E306" t="s">
        <v>43</v>
      </c>
      <c r="F306" t="str">
        <f>_xlfn.TEXTAFTER(Table1[[#This Row],[Campaign_Name]],"_")</f>
        <v>Retargeting</v>
      </c>
      <c r="G306" t="str">
        <f>IF(ISNUMBER(SEARCH("Tier1",Table1[[#This Row],[Campaign_Name]])),"Tier1",IF(ISNUMBER(SEARCH("Tier2",Table1[[#This Row],[Campaign_Name]])),"Tier2","Not Applicable"))</f>
        <v>Not Applicable</v>
      </c>
      <c r="H306" t="s">
        <v>61</v>
      </c>
      <c r="I306" s="3">
        <v>224.81</v>
      </c>
      <c r="J306" s="7">
        <v>1933</v>
      </c>
      <c r="K306" s="7">
        <v>58</v>
      </c>
      <c r="L306" s="7">
        <v>0</v>
      </c>
      <c r="M306" s="7">
        <v>0</v>
      </c>
      <c r="N306" s="2">
        <v>0</v>
      </c>
      <c r="O306" s="6">
        <f>Table1[[#This Row],[Clicks]]/Table1[[#This Row],[Impressions]]</f>
        <v>3.0005173305742368E-2</v>
      </c>
      <c r="P306" s="6">
        <f>Table1[[#This Row],[Leads]]/Table1[[#This Row],[Clicks]]</f>
        <v>0</v>
      </c>
      <c r="Q306" s="6" t="str">
        <f>IF(Table1[[#This Row],[Conversion1]]&gt;=2%,"High","Low")</f>
        <v>Low</v>
      </c>
      <c r="R306" s="6">
        <f>IFERROR(Table1[[#This Row],[Orders]]/Table1[[#This Row],[Leads]],0)</f>
        <v>0</v>
      </c>
      <c r="S306" s="6" t="str">
        <f>IF(Table1[[#This Row],[Conversion2]]&gt;=15%,"High","Low")</f>
        <v>Low</v>
      </c>
      <c r="T306" s="4">
        <f>IFERROR(Table1[[#This Row],[Revenue]]/Table1[[#This Row],[Orders]],0)</f>
        <v>0</v>
      </c>
      <c r="U306" s="4">
        <f>Table1[[#This Row],[Market_Budget]]/Table1[[#This Row],[Clicks]]</f>
        <v>3.8760344827586208</v>
      </c>
      <c r="V306" s="4">
        <f>IFERROR(Table1[[#This Row],[Market_Budget]]/Table1[[#This Row],[Leads]],0)</f>
        <v>0</v>
      </c>
      <c r="W306" s="4">
        <f>IFERROR(Table1[[#This Row],[Market_Budget]]/Table1[[#This Row],[Orders]],0)</f>
        <v>0</v>
      </c>
      <c r="X306" s="15">
        <f>(Table1[[#This Row],[Revenue]]-Table1[[#This Row],[Market_Budget]])/Table1[[#This Row],[Market_Budget]]</f>
        <v>-1</v>
      </c>
      <c r="Y306" s="5">
        <f>Table1[[#This Row],[Revenue]]-Table1[[#This Row],[Market_Budget]]</f>
        <v>-224.81</v>
      </c>
    </row>
    <row r="307" spans="1:25" x14ac:dyDescent="0.35">
      <c r="A307">
        <v>544756</v>
      </c>
      <c r="B307" s="1">
        <v>44255</v>
      </c>
      <c r="C307" s="1" t="str">
        <f>TEXT(Table1[[#This Row],[Date]],"dddd")</f>
        <v>Sunday</v>
      </c>
      <c r="D307" s="1" t="str">
        <f>IF(WEEKDAY(Table1[[#This Row],[Date]],2)&gt;5,"Weekend","Weekday")</f>
        <v>Weekend</v>
      </c>
      <c r="E307" t="s">
        <v>44</v>
      </c>
      <c r="F307" t="str">
        <f>_xlfn.TEXTAFTER(Table1[[#This Row],[Campaign_Name]],"_")</f>
        <v>Lal</v>
      </c>
      <c r="G307" t="str">
        <f>IF(ISNUMBER(SEARCH("Tier1",Table1[[#This Row],[Campaign_Name]])),"Tier1",IF(ISNUMBER(SEARCH("Tier2",Table1[[#This Row],[Campaign_Name]])),"Tier2","Not Applicable"))</f>
        <v>Not Applicable</v>
      </c>
      <c r="H307" t="s">
        <v>61</v>
      </c>
      <c r="I307" s="3">
        <v>6844.8</v>
      </c>
      <c r="J307" s="7">
        <v>25840</v>
      </c>
      <c r="K307" s="7">
        <v>248</v>
      </c>
      <c r="L307" s="7">
        <v>5</v>
      </c>
      <c r="M307" s="7">
        <v>1</v>
      </c>
      <c r="N307" s="2">
        <v>1491</v>
      </c>
      <c r="O307" s="6">
        <f>Table1[[#This Row],[Clicks]]/Table1[[#This Row],[Impressions]]</f>
        <v>9.5975232198142416E-3</v>
      </c>
      <c r="P307" s="6">
        <f>Table1[[#This Row],[Leads]]/Table1[[#This Row],[Clicks]]</f>
        <v>2.0161290322580645E-2</v>
      </c>
      <c r="Q307" s="6" t="str">
        <f>IF(Table1[[#This Row],[Conversion1]]&gt;=2%,"High","Low")</f>
        <v>High</v>
      </c>
      <c r="R307" s="6">
        <f>IFERROR(Table1[[#This Row],[Orders]]/Table1[[#This Row],[Leads]],0)</f>
        <v>0.2</v>
      </c>
      <c r="S307" s="6" t="str">
        <f>IF(Table1[[#This Row],[Conversion2]]&gt;=15%,"High","Low")</f>
        <v>High</v>
      </c>
      <c r="T307" s="4">
        <f>IFERROR(Table1[[#This Row],[Revenue]]/Table1[[#This Row],[Orders]],0)</f>
        <v>1491</v>
      </c>
      <c r="U307" s="4">
        <f>Table1[[#This Row],[Market_Budget]]/Table1[[#This Row],[Clicks]]</f>
        <v>27.6</v>
      </c>
      <c r="V307" s="4">
        <f>IFERROR(Table1[[#This Row],[Market_Budget]]/Table1[[#This Row],[Leads]],0)</f>
        <v>1368.96</v>
      </c>
      <c r="W307" s="4">
        <f>IFERROR(Table1[[#This Row],[Market_Budget]]/Table1[[#This Row],[Orders]],0)</f>
        <v>6844.8</v>
      </c>
      <c r="X307" s="15">
        <f>(Table1[[#This Row],[Revenue]]-Table1[[#This Row],[Market_Budget]])/Table1[[#This Row],[Market_Budget]]</f>
        <v>-0.7821704067321178</v>
      </c>
      <c r="Y307" s="5">
        <f>Table1[[#This Row],[Revenue]]-Table1[[#This Row],[Market_Budget]]</f>
        <v>-5353.8</v>
      </c>
    </row>
    <row r="308" spans="1:25" x14ac:dyDescent="0.35">
      <c r="A308">
        <v>374754</v>
      </c>
      <c r="B308" s="1">
        <v>44255</v>
      </c>
      <c r="C308" s="1" t="str">
        <f>TEXT(Table1[[#This Row],[Date]],"dddd")</f>
        <v>Sunday</v>
      </c>
      <c r="D308" s="1" t="str">
        <f>IF(WEEKDAY(Table1[[#This Row],[Date]],2)&gt;5,"Weekend","Weekday")</f>
        <v>Weekend</v>
      </c>
      <c r="E308" t="s">
        <v>45</v>
      </c>
      <c r="F308" t="str">
        <f>_xlfn.TEXTAFTER(Table1[[#This Row],[Campaign_Name]],"_")</f>
        <v>Blogger</v>
      </c>
      <c r="G308" t="str">
        <f>IF(ISNUMBER(SEARCH("Tier1",Table1[[#This Row],[Campaign_Name]])),"Tier1",IF(ISNUMBER(SEARCH("Tier2",Table1[[#This Row],[Campaign_Name]])),"Tier2","Not Applicable"))</f>
        <v>Not Applicable</v>
      </c>
      <c r="H308" t="s">
        <v>48</v>
      </c>
      <c r="I308" s="3">
        <v>4845.6499999999996</v>
      </c>
      <c r="J308" s="7">
        <v>94058</v>
      </c>
      <c r="K308" s="7">
        <v>594</v>
      </c>
      <c r="L308" s="7">
        <v>12</v>
      </c>
      <c r="M308" s="7">
        <v>1</v>
      </c>
      <c r="N308" s="2">
        <v>5008</v>
      </c>
      <c r="O308" s="6">
        <f>Table1[[#This Row],[Clicks]]/Table1[[#This Row],[Impressions]]</f>
        <v>6.3152522911395096E-3</v>
      </c>
      <c r="P308" s="6">
        <f>Table1[[#This Row],[Leads]]/Table1[[#This Row],[Clicks]]</f>
        <v>2.0202020202020204E-2</v>
      </c>
      <c r="Q308" s="6" t="str">
        <f>IF(Table1[[#This Row],[Conversion1]]&gt;=2%,"High","Low")</f>
        <v>High</v>
      </c>
      <c r="R308" s="6">
        <f>IFERROR(Table1[[#This Row],[Orders]]/Table1[[#This Row],[Leads]],0)</f>
        <v>8.3333333333333329E-2</v>
      </c>
      <c r="S308" s="6" t="str">
        <f>IF(Table1[[#This Row],[Conversion2]]&gt;=15%,"High","Low")</f>
        <v>Low</v>
      </c>
      <c r="T308" s="4">
        <f>IFERROR(Table1[[#This Row],[Revenue]]/Table1[[#This Row],[Orders]],0)</f>
        <v>5008</v>
      </c>
      <c r="U308" s="4">
        <f>Table1[[#This Row],[Market_Budget]]/Table1[[#This Row],[Clicks]]</f>
        <v>8.1576599326599322</v>
      </c>
      <c r="V308" s="4">
        <f>IFERROR(Table1[[#This Row],[Market_Budget]]/Table1[[#This Row],[Leads]],0)</f>
        <v>403.80416666666662</v>
      </c>
      <c r="W308" s="4">
        <f>IFERROR(Table1[[#This Row],[Market_Budget]]/Table1[[#This Row],[Orders]],0)</f>
        <v>4845.6499999999996</v>
      </c>
      <c r="X308" s="15">
        <f>(Table1[[#This Row],[Revenue]]-Table1[[#This Row],[Market_Budget]])/Table1[[#This Row],[Market_Budget]]</f>
        <v>3.3504277031977212E-2</v>
      </c>
      <c r="Y308" s="5">
        <f>Table1[[#This Row],[Revenue]]-Table1[[#This Row],[Market_Budget]]</f>
        <v>162.35000000000036</v>
      </c>
    </row>
    <row r="309" spans="1:25" x14ac:dyDescent="0.35">
      <c r="A309">
        <v>39889</v>
      </c>
      <c r="B309" s="1">
        <v>44255</v>
      </c>
      <c r="C309" s="1" t="str">
        <f>TEXT(Table1[[#This Row],[Date]],"dddd")</f>
        <v>Sunday</v>
      </c>
      <c r="D309" s="1" t="str">
        <f>IF(WEEKDAY(Table1[[#This Row],[Date]],2)&gt;5,"Weekend","Weekday")</f>
        <v>Weekend</v>
      </c>
      <c r="E309" t="s">
        <v>46</v>
      </c>
      <c r="F309" t="str">
        <f>_xlfn.TEXTAFTER(Table1[[#This Row],[Campaign_Name]],"_")</f>
        <v>Partner</v>
      </c>
      <c r="G309" t="str">
        <f>IF(ISNUMBER(SEARCH("Tier1",Table1[[#This Row],[Campaign_Name]])),"Tier1",IF(ISNUMBER(SEARCH("Tier2",Table1[[#This Row],[Campaign_Name]])),"Tier2","Not Applicable"))</f>
        <v>Not Applicable</v>
      </c>
      <c r="H309" t="s">
        <v>62</v>
      </c>
      <c r="I309" s="3">
        <v>6822.62</v>
      </c>
      <c r="J309" s="7">
        <v>8490000</v>
      </c>
      <c r="K309" s="7">
        <v>849</v>
      </c>
      <c r="L309" s="7">
        <v>18</v>
      </c>
      <c r="M309" s="7">
        <v>2</v>
      </c>
      <c r="N309" s="2">
        <v>7030</v>
      </c>
      <c r="O309" s="6">
        <f>Table1[[#This Row],[Clicks]]/Table1[[#This Row],[Impressions]]</f>
        <v>1E-4</v>
      </c>
      <c r="P309" s="6">
        <f>Table1[[#This Row],[Leads]]/Table1[[#This Row],[Clicks]]</f>
        <v>2.1201413427561839E-2</v>
      </c>
      <c r="Q309" s="6" t="str">
        <f>IF(Table1[[#This Row],[Conversion1]]&gt;=2%,"High","Low")</f>
        <v>High</v>
      </c>
      <c r="R309" s="6">
        <f>IFERROR(Table1[[#This Row],[Orders]]/Table1[[#This Row],[Leads]],0)</f>
        <v>0.1111111111111111</v>
      </c>
      <c r="S309" s="6" t="str">
        <f>IF(Table1[[#This Row],[Conversion2]]&gt;=15%,"High","Low")</f>
        <v>Low</v>
      </c>
      <c r="T309" s="4">
        <f>IFERROR(Table1[[#This Row],[Revenue]]/Table1[[#This Row],[Orders]],0)</f>
        <v>3515</v>
      </c>
      <c r="U309" s="4">
        <f>Table1[[#This Row],[Market_Budget]]/Table1[[#This Row],[Clicks]]</f>
        <v>8.0360659599528859</v>
      </c>
      <c r="V309" s="4">
        <f>IFERROR(Table1[[#This Row],[Market_Budget]]/Table1[[#This Row],[Leads]],0)</f>
        <v>379.03444444444443</v>
      </c>
      <c r="W309" s="4">
        <f>IFERROR(Table1[[#This Row],[Market_Budget]]/Table1[[#This Row],[Orders]],0)</f>
        <v>3411.31</v>
      </c>
      <c r="X309" s="15">
        <f>(Table1[[#This Row],[Revenue]]-Table1[[#This Row],[Market_Budget]])/Table1[[#This Row],[Market_Budget]]</f>
        <v>3.039594759784366E-2</v>
      </c>
      <c r="Y309" s="5">
        <f>Table1[[#This Row],[Revenue]]-Table1[[#This Row],[Market_Budget]]</f>
        <v>207.38000000000011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73458-176F-4A2E-A651-A9840A706AE5}">
  <dimension ref="C4:S125"/>
  <sheetViews>
    <sheetView tabSelected="1" topLeftCell="B2" zoomScale="77" zoomScaleNormal="70" workbookViewId="0">
      <selection activeCell="J13" sqref="J13"/>
    </sheetView>
  </sheetViews>
  <sheetFormatPr defaultRowHeight="14.5" x14ac:dyDescent="0.35"/>
  <cols>
    <col min="3" max="3" width="12.90625" bestFit="1" customWidth="1"/>
    <col min="4" max="4" width="25.453125" bestFit="1" customWidth="1"/>
    <col min="5" max="5" width="14.36328125" bestFit="1" customWidth="1"/>
    <col min="6" max="6" width="18.453125" bestFit="1" customWidth="1"/>
    <col min="7" max="7" width="29.7265625" bestFit="1" customWidth="1"/>
    <col min="8" max="8" width="12.453125" bestFit="1" customWidth="1"/>
    <col min="9" max="9" width="29.7265625" bestFit="1" customWidth="1"/>
    <col min="10" max="11" width="22.26953125" bestFit="1" customWidth="1"/>
    <col min="12" max="12" width="19" bestFit="1" customWidth="1"/>
    <col min="13" max="13" width="29.7265625" bestFit="1" customWidth="1"/>
    <col min="14" max="14" width="10.36328125" bestFit="1" customWidth="1"/>
    <col min="15" max="15" width="11.1796875" customWidth="1"/>
    <col min="16" max="16" width="22.26953125" bestFit="1" customWidth="1"/>
    <col min="17" max="17" width="15.6328125" bestFit="1" customWidth="1"/>
    <col min="18" max="18" width="6.90625" bestFit="1" customWidth="1"/>
    <col min="19" max="19" width="10.36328125" bestFit="1" customWidth="1"/>
    <col min="20" max="20" width="28.26953125" bestFit="1" customWidth="1"/>
    <col min="21" max="21" width="16.7265625" bestFit="1" customWidth="1"/>
    <col min="22" max="22" width="32.81640625" bestFit="1" customWidth="1"/>
    <col min="23" max="23" width="16.453125" bestFit="1" customWidth="1"/>
    <col min="24" max="24" width="16.7265625" bestFit="1" customWidth="1"/>
    <col min="25" max="25" width="32.81640625" bestFit="1" customWidth="1"/>
    <col min="26" max="26" width="16.453125" bestFit="1" customWidth="1"/>
    <col min="27" max="27" width="16.7265625" bestFit="1" customWidth="1"/>
    <col min="28" max="28" width="32.81640625" bestFit="1" customWidth="1"/>
  </cols>
  <sheetData>
    <row r="4" spans="3:13" x14ac:dyDescent="0.35">
      <c r="D4" s="11"/>
      <c r="E4" s="10"/>
      <c r="H4" s="10" t="s">
        <v>68</v>
      </c>
    </row>
    <row r="6" spans="3:13" x14ac:dyDescent="0.35">
      <c r="C6" t="s">
        <v>63</v>
      </c>
      <c r="D6" t="s">
        <v>64</v>
      </c>
      <c r="E6" t="s">
        <v>65</v>
      </c>
      <c r="F6" t="s">
        <v>66</v>
      </c>
      <c r="G6" t="s">
        <v>67</v>
      </c>
      <c r="H6" t="s">
        <v>71</v>
      </c>
      <c r="I6" t="s">
        <v>113</v>
      </c>
      <c r="J6" t="s">
        <v>114</v>
      </c>
      <c r="K6" t="s">
        <v>111</v>
      </c>
      <c r="L6" t="s">
        <v>74</v>
      </c>
    </row>
    <row r="7" spans="3:13" x14ac:dyDescent="0.35">
      <c r="C7" s="18">
        <v>30590879.819999997</v>
      </c>
      <c r="D7" s="19">
        <v>5332.5085167226162</v>
      </c>
      <c r="E7" s="19">
        <v>10.197235265352163</v>
      </c>
      <c r="F7" s="19">
        <v>466.47371597615086</v>
      </c>
      <c r="G7" s="19">
        <v>3803.4166132040277</v>
      </c>
      <c r="H7" s="14">
        <v>0.402031136481383</v>
      </c>
      <c r="I7" s="18">
        <v>12298486.180000005</v>
      </c>
      <c r="J7" s="14">
        <v>2.1860256893602794E-2</v>
      </c>
      <c r="K7" s="14">
        <v>0.12264596898397352</v>
      </c>
      <c r="L7" s="18">
        <v>42889366</v>
      </c>
    </row>
    <row r="13" spans="3:13" x14ac:dyDescent="0.35">
      <c r="D13" s="10" t="s">
        <v>72</v>
      </c>
      <c r="H13" s="10" t="s">
        <v>73</v>
      </c>
      <c r="L13" s="10" t="s">
        <v>76</v>
      </c>
    </row>
    <row r="15" spans="3:13" x14ac:dyDescent="0.35">
      <c r="D15" s="8" t="s">
        <v>69</v>
      </c>
      <c r="E15" t="s">
        <v>71</v>
      </c>
      <c r="H15" s="8" t="s">
        <v>69</v>
      </c>
      <c r="I15" t="s">
        <v>71</v>
      </c>
      <c r="L15" s="8" t="s">
        <v>69</v>
      </c>
      <c r="M15" t="s">
        <v>71</v>
      </c>
    </row>
    <row r="16" spans="3:13" x14ac:dyDescent="0.35">
      <c r="D16" s="12" t="s">
        <v>46</v>
      </c>
      <c r="E16" s="14">
        <v>0.22406168964072765</v>
      </c>
      <c r="H16" s="12" t="s">
        <v>48</v>
      </c>
      <c r="I16" s="14">
        <v>1.5429396439389607</v>
      </c>
      <c r="L16" s="12" t="s">
        <v>77</v>
      </c>
      <c r="M16" s="14">
        <v>0.61491356904791084</v>
      </c>
    </row>
    <row r="17" spans="4:13" x14ac:dyDescent="0.35">
      <c r="D17" s="12" t="s">
        <v>44</v>
      </c>
      <c r="E17" s="14">
        <v>-0.88635885509615275</v>
      </c>
      <c r="H17" s="12" t="s">
        <v>62</v>
      </c>
      <c r="I17" s="14">
        <v>0.22406168964072765</v>
      </c>
      <c r="L17" s="12" t="s">
        <v>78</v>
      </c>
      <c r="M17" s="14">
        <v>0.35291234084018114</v>
      </c>
    </row>
    <row r="18" spans="4:13" x14ac:dyDescent="0.35">
      <c r="D18" s="12" t="s">
        <v>43</v>
      </c>
      <c r="E18" s="14">
        <v>1.0149608456936874</v>
      </c>
      <c r="H18" s="12" t="s">
        <v>47</v>
      </c>
      <c r="I18" s="14">
        <v>7.0704232184343699E-2</v>
      </c>
      <c r="L18" s="12" t="s">
        <v>79</v>
      </c>
      <c r="M18" s="14">
        <v>-0.28233537164403022</v>
      </c>
    </row>
    <row r="19" spans="4:13" x14ac:dyDescent="0.35">
      <c r="D19" s="12" t="s">
        <v>36</v>
      </c>
      <c r="E19" s="14">
        <v>-6.565108704190907E-2</v>
      </c>
      <c r="H19" s="12" t="s">
        <v>61</v>
      </c>
      <c r="I19" s="14">
        <v>-0.13675738562530512</v>
      </c>
      <c r="L19" s="12" t="s">
        <v>70</v>
      </c>
      <c r="M19" s="14">
        <v>0.40203113648138333</v>
      </c>
    </row>
    <row r="20" spans="4:13" x14ac:dyDescent="0.35">
      <c r="D20" s="12" t="s">
        <v>37</v>
      </c>
      <c r="E20" s="14">
        <v>-0.26216420900040205</v>
      </c>
      <c r="H20" s="12" t="s">
        <v>70</v>
      </c>
      <c r="I20" s="14">
        <v>0.4020311364813835</v>
      </c>
    </row>
    <row r="21" spans="4:13" x14ac:dyDescent="0.35">
      <c r="D21" s="12" t="s">
        <v>38</v>
      </c>
      <c r="E21" s="14">
        <v>0.8381243993952131</v>
      </c>
    </row>
    <row r="22" spans="4:13" x14ac:dyDescent="0.35">
      <c r="D22" s="12" t="s">
        <v>39</v>
      </c>
      <c r="E22" s="14">
        <v>-0.33670273797532013</v>
      </c>
    </row>
    <row r="23" spans="4:13" x14ac:dyDescent="0.35">
      <c r="D23" s="12" t="s">
        <v>45</v>
      </c>
      <c r="E23" s="14">
        <v>0.36754210796971321</v>
      </c>
    </row>
    <row r="24" spans="4:13" x14ac:dyDescent="0.35">
      <c r="D24" s="12" t="s">
        <v>41</v>
      </c>
      <c r="E24" s="14">
        <v>0.77139683439674955</v>
      </c>
    </row>
    <row r="25" spans="4:13" x14ac:dyDescent="0.35">
      <c r="D25" s="12" t="s">
        <v>42</v>
      </c>
      <c r="E25" s="14">
        <v>-0.37114135742616844</v>
      </c>
    </row>
    <row r="26" spans="4:13" x14ac:dyDescent="0.35">
      <c r="D26" s="12" t="s">
        <v>40</v>
      </c>
      <c r="E26" s="14">
        <v>2.7732066438861067</v>
      </c>
    </row>
    <row r="27" spans="4:13" x14ac:dyDescent="0.35">
      <c r="D27" s="12" t="s">
        <v>70</v>
      </c>
      <c r="E27" s="14">
        <v>0.40203113648138233</v>
      </c>
    </row>
    <row r="33" spans="4:19" x14ac:dyDescent="0.35">
      <c r="D33" s="10" t="s">
        <v>80</v>
      </c>
      <c r="H33" s="10" t="s">
        <v>88</v>
      </c>
      <c r="L33" s="10" t="s">
        <v>98</v>
      </c>
      <c r="P33" s="10" t="s">
        <v>91</v>
      </c>
    </row>
    <row r="35" spans="4:19" x14ac:dyDescent="0.35">
      <c r="D35" s="8" t="s">
        <v>69</v>
      </c>
      <c r="E35" t="s">
        <v>75</v>
      </c>
      <c r="H35" s="8" t="s">
        <v>69</v>
      </c>
      <c r="I35" t="s">
        <v>74</v>
      </c>
      <c r="L35" s="8" t="s">
        <v>69</v>
      </c>
      <c r="M35" t="s">
        <v>64</v>
      </c>
      <c r="P35" s="8" t="s">
        <v>111</v>
      </c>
      <c r="Q35" s="8" t="s">
        <v>92</v>
      </c>
    </row>
    <row r="36" spans="4:19" x14ac:dyDescent="0.35">
      <c r="D36" s="13">
        <v>44228</v>
      </c>
      <c r="E36" s="3">
        <v>120844.71999999999</v>
      </c>
      <c r="H36" s="13">
        <v>44228</v>
      </c>
      <c r="I36" s="2">
        <v>182676</v>
      </c>
      <c r="L36" s="13">
        <v>44228</v>
      </c>
      <c r="M36" s="2">
        <v>6089.2</v>
      </c>
      <c r="P36" s="8" t="s">
        <v>69</v>
      </c>
      <c r="Q36" t="s">
        <v>93</v>
      </c>
      <c r="R36" t="s">
        <v>94</v>
      </c>
      <c r="S36" t="s">
        <v>70</v>
      </c>
    </row>
    <row r="37" spans="4:19" x14ac:dyDescent="0.35">
      <c r="D37" s="13">
        <v>44229</v>
      </c>
      <c r="E37" s="3">
        <v>189064.91000000003</v>
      </c>
      <c r="H37" s="13">
        <v>44229</v>
      </c>
      <c r="I37" s="2">
        <v>316369</v>
      </c>
      <c r="L37" s="13">
        <v>44229</v>
      </c>
      <c r="M37" s="2">
        <v>5858.6851851851852</v>
      </c>
      <c r="P37" s="13">
        <v>44228</v>
      </c>
      <c r="Q37" s="14">
        <v>0.21153846153846154</v>
      </c>
      <c r="R37" s="14">
        <v>6.7615658362989328E-2</v>
      </c>
      <c r="S37" s="14">
        <v>9.0090090090090086E-2</v>
      </c>
    </row>
    <row r="38" spans="4:19" x14ac:dyDescent="0.35">
      <c r="D38" s="13">
        <v>44230</v>
      </c>
      <c r="E38" s="3">
        <v>922808.01000000013</v>
      </c>
      <c r="H38" s="13">
        <v>44230</v>
      </c>
      <c r="I38" s="2">
        <v>1583142</v>
      </c>
      <c r="L38" s="13">
        <v>44230</v>
      </c>
      <c r="M38" s="2">
        <v>5799.0549450549452</v>
      </c>
      <c r="P38" s="13">
        <v>44229</v>
      </c>
      <c r="Q38" s="14">
        <v>0.18181818181818182</v>
      </c>
      <c r="R38" s="14">
        <v>0.10476190476190476</v>
      </c>
      <c r="S38" s="14">
        <v>0.13989637305699482</v>
      </c>
    </row>
    <row r="39" spans="4:19" x14ac:dyDescent="0.35">
      <c r="D39" s="13">
        <v>44231</v>
      </c>
      <c r="E39" s="3">
        <v>1168337.3499999999</v>
      </c>
      <c r="H39" s="13">
        <v>44231</v>
      </c>
      <c r="I39" s="2">
        <v>1633899</v>
      </c>
      <c r="L39" s="13">
        <v>44231</v>
      </c>
      <c r="M39" s="2">
        <v>5203.5</v>
      </c>
      <c r="P39" s="13">
        <v>44230</v>
      </c>
      <c r="Q39" s="14">
        <v>0.19839999999999999</v>
      </c>
      <c r="R39" s="14">
        <v>8.9921544960772481E-2</v>
      </c>
      <c r="S39" s="14">
        <v>0.1196319018404908</v>
      </c>
    </row>
    <row r="40" spans="4:19" x14ac:dyDescent="0.35">
      <c r="D40" s="13">
        <v>44232</v>
      </c>
      <c r="E40" s="3">
        <v>1883989.74</v>
      </c>
      <c r="H40" s="13">
        <v>44232</v>
      </c>
      <c r="I40" s="2">
        <v>2704723</v>
      </c>
      <c r="L40" s="13">
        <v>44232</v>
      </c>
      <c r="M40" s="2">
        <v>5694.1536842105261</v>
      </c>
      <c r="P40" s="13">
        <v>44231</v>
      </c>
      <c r="Q40" s="14">
        <v>0.18404351767905711</v>
      </c>
      <c r="R40" s="14">
        <v>8.6046511627906982E-2</v>
      </c>
      <c r="S40" s="14">
        <v>0.13121604680317592</v>
      </c>
    </row>
    <row r="41" spans="4:19" x14ac:dyDescent="0.35">
      <c r="D41" s="13">
        <v>44233</v>
      </c>
      <c r="E41" s="3">
        <v>305983.26</v>
      </c>
      <c r="H41" s="13">
        <v>44233</v>
      </c>
      <c r="I41" s="2">
        <v>416199</v>
      </c>
      <c r="L41" s="13">
        <v>44233</v>
      </c>
      <c r="M41" s="2">
        <v>5549.32</v>
      </c>
      <c r="P41" s="13">
        <v>44232</v>
      </c>
      <c r="Q41" s="14">
        <v>0.18744228993536471</v>
      </c>
      <c r="R41" s="14">
        <v>0.10077806595035198</v>
      </c>
      <c r="S41" s="14">
        <v>0.12559492332099417</v>
      </c>
    </row>
    <row r="42" spans="4:19" x14ac:dyDescent="0.35">
      <c r="D42" s="13">
        <v>44234</v>
      </c>
      <c r="E42" s="3">
        <v>306417.68</v>
      </c>
      <c r="H42" s="13">
        <v>44234</v>
      </c>
      <c r="I42" s="2">
        <v>434647</v>
      </c>
      <c r="L42" s="13">
        <v>44234</v>
      </c>
      <c r="M42" s="2">
        <v>5054.0348837209303</v>
      </c>
      <c r="P42" s="13">
        <v>44233</v>
      </c>
      <c r="Q42" s="14">
        <v>0.19631901840490798</v>
      </c>
      <c r="R42" s="14">
        <v>9.2473118279569888E-2</v>
      </c>
      <c r="S42" s="14">
        <v>0.11942675159235669</v>
      </c>
    </row>
    <row r="43" spans="4:19" x14ac:dyDescent="0.35">
      <c r="D43" s="13">
        <v>44235</v>
      </c>
      <c r="E43" s="3">
        <v>228203.44999999998</v>
      </c>
      <c r="H43" s="13">
        <v>44235</v>
      </c>
      <c r="I43" s="2">
        <v>308655</v>
      </c>
      <c r="L43" s="13">
        <v>44235</v>
      </c>
      <c r="M43" s="2">
        <v>5144.25</v>
      </c>
      <c r="P43" s="13">
        <v>44234</v>
      </c>
      <c r="Q43" s="14">
        <v>0.1864406779661017</v>
      </c>
      <c r="R43" s="14">
        <v>7.3813708260105443E-2</v>
      </c>
      <c r="S43" s="14">
        <v>0.10683229813664596</v>
      </c>
    </row>
    <row r="44" spans="4:19" x14ac:dyDescent="0.35">
      <c r="D44" s="13">
        <v>44236</v>
      </c>
      <c r="E44" s="3">
        <v>313716.54000000004</v>
      </c>
      <c r="H44" s="13">
        <v>44236</v>
      </c>
      <c r="I44" s="2">
        <v>437923</v>
      </c>
      <c r="L44" s="13">
        <v>44236</v>
      </c>
      <c r="M44" s="2">
        <v>5340.5243902439024</v>
      </c>
      <c r="P44" s="13">
        <v>44235</v>
      </c>
      <c r="Q44" s="14">
        <v>0.18497109826589594</v>
      </c>
      <c r="R44" s="14">
        <v>7.8431372549019607E-2</v>
      </c>
      <c r="S44" s="14">
        <v>0.11320754716981132</v>
      </c>
    </row>
    <row r="45" spans="4:19" x14ac:dyDescent="0.35">
      <c r="D45" s="13">
        <v>44237</v>
      </c>
      <c r="E45" s="3">
        <v>729951.8</v>
      </c>
      <c r="H45" s="13">
        <v>44237</v>
      </c>
      <c r="I45" s="2">
        <v>811363</v>
      </c>
      <c r="L45" s="13">
        <v>44237</v>
      </c>
      <c r="M45" s="2">
        <v>4203.9533678756479</v>
      </c>
      <c r="P45" s="13">
        <v>44236</v>
      </c>
      <c r="Q45" s="14">
        <v>0.16831683168316833</v>
      </c>
      <c r="R45" s="14">
        <v>9.1715976331360943E-2</v>
      </c>
      <c r="S45" s="14">
        <v>0.12792511700468018</v>
      </c>
    </row>
    <row r="46" spans="4:19" x14ac:dyDescent="0.35">
      <c r="D46" s="13">
        <v>44238</v>
      </c>
      <c r="E46" s="3">
        <v>919245.87</v>
      </c>
      <c r="H46" s="13">
        <v>44238</v>
      </c>
      <c r="I46" s="2">
        <v>1563209</v>
      </c>
      <c r="L46" s="13">
        <v>44238</v>
      </c>
      <c r="M46" s="2">
        <v>6012.3423076923073</v>
      </c>
      <c r="P46" s="13">
        <v>44237</v>
      </c>
      <c r="Q46" s="14">
        <v>0.19157608695652173</v>
      </c>
      <c r="R46" s="14">
        <v>5.3997923156801658E-2</v>
      </c>
      <c r="S46" s="14">
        <v>0.11359623307828134</v>
      </c>
    </row>
    <row r="47" spans="4:19" x14ac:dyDescent="0.35">
      <c r="D47" s="13">
        <v>44239</v>
      </c>
      <c r="E47" s="3">
        <v>1155208.8000000003</v>
      </c>
      <c r="H47" s="13">
        <v>44239</v>
      </c>
      <c r="I47" s="2">
        <v>1657464</v>
      </c>
      <c r="L47" s="13">
        <v>44239</v>
      </c>
      <c r="M47" s="2">
        <v>5278.5477707006366</v>
      </c>
      <c r="P47" s="13">
        <v>44238</v>
      </c>
      <c r="Q47" s="14">
        <v>0.19230769230769232</v>
      </c>
      <c r="R47" s="14">
        <v>0.10180995475113122</v>
      </c>
      <c r="S47" s="14">
        <v>0.13157894736842105</v>
      </c>
    </row>
    <row r="48" spans="4:19" x14ac:dyDescent="0.35">
      <c r="D48" s="13">
        <v>44240</v>
      </c>
      <c r="E48" s="3">
        <v>1825406.8800000004</v>
      </c>
      <c r="H48" s="13">
        <v>44240</v>
      </c>
      <c r="I48" s="2">
        <v>2802893</v>
      </c>
      <c r="L48" s="13">
        <v>44240</v>
      </c>
      <c r="M48" s="2">
        <v>5349.0324427480919</v>
      </c>
      <c r="P48" s="13">
        <v>44239</v>
      </c>
      <c r="Q48" s="14">
        <v>0.17976318622174381</v>
      </c>
      <c r="R48" s="14">
        <v>9.375E-2</v>
      </c>
      <c r="S48" s="14">
        <v>0.12575090108129755</v>
      </c>
    </row>
    <row r="49" spans="4:19" x14ac:dyDescent="0.35">
      <c r="D49" s="13">
        <v>44241</v>
      </c>
      <c r="E49" s="3">
        <v>1881081.54</v>
      </c>
      <c r="H49" s="13">
        <v>44241</v>
      </c>
      <c r="I49" s="2">
        <v>2197128</v>
      </c>
      <c r="L49" s="13">
        <v>44241</v>
      </c>
      <c r="M49" s="2">
        <v>4714.8669527897</v>
      </c>
      <c r="P49" s="13">
        <v>44240</v>
      </c>
      <c r="Q49" s="14">
        <v>0.17464114832535885</v>
      </c>
      <c r="R49" s="14">
        <v>8.4126984126984133E-2</v>
      </c>
      <c r="S49" s="14">
        <v>0.13165829145728644</v>
      </c>
    </row>
    <row r="50" spans="4:19" x14ac:dyDescent="0.35">
      <c r="D50" s="13">
        <v>44242</v>
      </c>
      <c r="E50" s="3">
        <v>1941196.56</v>
      </c>
      <c r="H50" s="13">
        <v>44242</v>
      </c>
      <c r="I50" s="2">
        <v>2795172</v>
      </c>
      <c r="L50" s="13">
        <v>44242</v>
      </c>
      <c r="M50" s="2">
        <v>5417</v>
      </c>
      <c r="P50" s="13">
        <v>44241</v>
      </c>
      <c r="Q50" s="14">
        <v>0.15464895635673626</v>
      </c>
      <c r="R50" s="14">
        <v>9.6836049856184089E-2</v>
      </c>
      <c r="S50" s="14">
        <v>0.1114032990676548</v>
      </c>
    </row>
    <row r="51" spans="4:19" x14ac:dyDescent="0.35">
      <c r="D51" s="13">
        <v>44243</v>
      </c>
      <c r="E51" s="3">
        <v>3035499</v>
      </c>
      <c r="H51" s="13">
        <v>44243</v>
      </c>
      <c r="I51" s="2">
        <v>3620594</v>
      </c>
      <c r="L51" s="13">
        <v>44243</v>
      </c>
      <c r="M51" s="2">
        <v>5232.0722543352604</v>
      </c>
      <c r="P51" s="13">
        <v>44242</v>
      </c>
      <c r="Q51" s="14">
        <v>0.16133942161339421</v>
      </c>
      <c r="R51" s="14">
        <v>7.7012835472578769E-2</v>
      </c>
      <c r="S51" s="14">
        <v>0.11360634081902246</v>
      </c>
    </row>
    <row r="52" spans="4:19" x14ac:dyDescent="0.35">
      <c r="D52" s="13">
        <v>44244</v>
      </c>
      <c r="E52" s="3">
        <v>3271291.5</v>
      </c>
      <c r="H52" s="13">
        <v>44244</v>
      </c>
      <c r="I52" s="2">
        <v>4139131</v>
      </c>
      <c r="L52" s="13">
        <v>44244</v>
      </c>
      <c r="M52" s="2">
        <v>5213.0113350125948</v>
      </c>
      <c r="P52" s="13">
        <v>44243</v>
      </c>
      <c r="Q52" s="14">
        <v>0.18130577736026304</v>
      </c>
      <c r="R52" s="14">
        <v>8.6318758815232724E-2</v>
      </c>
      <c r="S52" s="14">
        <v>0.12195981670778992</v>
      </c>
    </row>
    <row r="53" spans="4:19" x14ac:dyDescent="0.35">
      <c r="D53" s="13">
        <v>44245</v>
      </c>
      <c r="E53" s="3">
        <v>2158494.2000000002</v>
      </c>
      <c r="H53" s="13">
        <v>44245</v>
      </c>
      <c r="I53" s="2">
        <v>2659560</v>
      </c>
      <c r="L53" s="13">
        <v>44245</v>
      </c>
      <c r="M53" s="2">
        <v>5114.5384615384619</v>
      </c>
      <c r="P53" s="13">
        <v>44244</v>
      </c>
      <c r="Q53" s="14">
        <v>0.19383003492433062</v>
      </c>
      <c r="R53" s="14">
        <v>0.10773545220845993</v>
      </c>
      <c r="S53" s="14">
        <v>0.13239953309988328</v>
      </c>
    </row>
    <row r="54" spans="4:19" x14ac:dyDescent="0.35">
      <c r="D54" s="13">
        <v>44246</v>
      </c>
      <c r="E54" s="3">
        <v>3091011.34</v>
      </c>
      <c r="H54" s="13">
        <v>44246</v>
      </c>
      <c r="I54" s="2">
        <v>4973240</v>
      </c>
      <c r="L54" s="13">
        <v>44246</v>
      </c>
      <c r="M54" s="2">
        <v>5871.5938606847694</v>
      </c>
      <c r="P54" s="13">
        <v>44245</v>
      </c>
      <c r="Q54" s="14">
        <v>0.19461077844311378</v>
      </c>
      <c r="R54" s="14">
        <v>8.3135391923990498E-2</v>
      </c>
      <c r="S54" s="14">
        <v>8.9547098329602198E-2</v>
      </c>
    </row>
    <row r="55" spans="4:19" x14ac:dyDescent="0.35">
      <c r="D55" s="13">
        <v>44247</v>
      </c>
      <c r="E55" s="3">
        <v>3499171.7</v>
      </c>
      <c r="H55" s="13">
        <v>44247</v>
      </c>
      <c r="I55" s="2">
        <v>5261521</v>
      </c>
      <c r="L55" s="13">
        <v>44247</v>
      </c>
      <c r="M55" s="2">
        <v>5143.2267839687192</v>
      </c>
      <c r="P55" s="13">
        <v>44246</v>
      </c>
      <c r="Q55" s="14">
        <v>0.19376313945339874</v>
      </c>
      <c r="R55" s="14">
        <v>9.6078431372549025E-2</v>
      </c>
      <c r="S55" s="14">
        <v>0.14321947920189382</v>
      </c>
    </row>
    <row r="56" spans="4:19" x14ac:dyDescent="0.35">
      <c r="D56" s="13">
        <v>44248</v>
      </c>
      <c r="E56" s="3">
        <v>301515.38</v>
      </c>
      <c r="H56" s="13">
        <v>44248</v>
      </c>
      <c r="I56" s="2">
        <v>436892</v>
      </c>
      <c r="L56" s="13">
        <v>44248</v>
      </c>
      <c r="M56" s="2">
        <v>5080.1395348837214</v>
      </c>
      <c r="P56" s="13">
        <v>44247</v>
      </c>
      <c r="Q56" s="14">
        <v>0.16034527857703373</v>
      </c>
      <c r="R56" s="14">
        <v>9.6266729279173513E-2</v>
      </c>
      <c r="S56" s="14">
        <v>0.12657757980697848</v>
      </c>
    </row>
    <row r="57" spans="4:19" x14ac:dyDescent="0.35">
      <c r="D57" s="13">
        <v>44249</v>
      </c>
      <c r="E57" s="3">
        <v>583694.38</v>
      </c>
      <c r="H57" s="13">
        <v>44249</v>
      </c>
      <c r="I57" s="2">
        <v>893154</v>
      </c>
      <c r="L57" s="13">
        <v>44249</v>
      </c>
      <c r="M57" s="2">
        <v>5617.3207547169814</v>
      </c>
      <c r="P57" s="13">
        <v>44248</v>
      </c>
      <c r="Q57" s="14">
        <v>0.19548872180451127</v>
      </c>
      <c r="R57" s="14">
        <v>8.2125603864734303E-2</v>
      </c>
      <c r="S57" s="14">
        <v>0.12647058823529411</v>
      </c>
    </row>
    <row r="58" spans="4:19" x14ac:dyDescent="0.35">
      <c r="D58" s="13">
        <v>44250</v>
      </c>
      <c r="E58" s="3">
        <v>117842.87</v>
      </c>
      <c r="H58" s="13">
        <v>44250</v>
      </c>
      <c r="I58" s="2">
        <v>162649</v>
      </c>
      <c r="L58" s="13">
        <v>44250</v>
      </c>
      <c r="M58" s="2">
        <v>4928.757575757576</v>
      </c>
      <c r="P58" s="13">
        <v>44249</v>
      </c>
      <c r="Q58" s="14">
        <v>0.234375</v>
      </c>
      <c r="R58" s="14">
        <v>0.11220472440944881</v>
      </c>
      <c r="S58" s="14">
        <v>0.1316225165562914</v>
      </c>
    </row>
    <row r="59" spans="4:19" x14ac:dyDescent="0.35">
      <c r="D59" s="13">
        <v>44251</v>
      </c>
      <c r="E59" s="3">
        <v>369238</v>
      </c>
      <c r="H59" s="13">
        <v>44251</v>
      </c>
      <c r="I59" s="2">
        <v>440159</v>
      </c>
      <c r="L59" s="13">
        <v>44251</v>
      </c>
      <c r="M59" s="2">
        <v>4945.606741573034</v>
      </c>
      <c r="P59" s="13">
        <v>44250</v>
      </c>
      <c r="Q59" s="14">
        <v>0.18840579710144928</v>
      </c>
      <c r="R59" s="14">
        <v>9.3457943925233641E-2</v>
      </c>
      <c r="S59" s="14">
        <v>0.1166077738515901</v>
      </c>
    </row>
    <row r="60" spans="4:19" x14ac:dyDescent="0.35">
      <c r="D60" s="13">
        <v>44252</v>
      </c>
      <c r="E60" s="3">
        <v>66706.05</v>
      </c>
      <c r="H60" s="13">
        <v>44252</v>
      </c>
      <c r="I60" s="2">
        <v>99303</v>
      </c>
      <c r="L60" s="13">
        <v>44252</v>
      </c>
      <c r="M60" s="2">
        <v>4965.1499999999996</v>
      </c>
      <c r="P60" s="13">
        <v>44251</v>
      </c>
      <c r="Q60" s="14">
        <v>0.1748768472906404</v>
      </c>
      <c r="R60" s="14">
        <v>7.4999999999999997E-2</v>
      </c>
      <c r="S60" s="14">
        <v>0.13777089783281735</v>
      </c>
    </row>
    <row r="61" spans="4:19" x14ac:dyDescent="0.35">
      <c r="D61" s="13">
        <v>44253</v>
      </c>
      <c r="E61" s="3">
        <v>122692.88999999998</v>
      </c>
      <c r="H61" s="13">
        <v>44253</v>
      </c>
      <c r="I61" s="2">
        <v>238748</v>
      </c>
      <c r="L61" s="13">
        <v>44253</v>
      </c>
      <c r="M61" s="2">
        <v>6282.8421052631575</v>
      </c>
      <c r="P61" s="13">
        <v>44252</v>
      </c>
      <c r="Q61" s="14">
        <v>0.19230769230769232</v>
      </c>
      <c r="R61" s="14">
        <v>9.0909090909090912E-2</v>
      </c>
      <c r="S61" s="14">
        <v>0.15037593984962405</v>
      </c>
    </row>
    <row r="62" spans="4:19" x14ac:dyDescent="0.35">
      <c r="D62" s="13">
        <v>44254</v>
      </c>
      <c r="E62" s="3">
        <v>28902.73</v>
      </c>
      <c r="H62" s="13">
        <v>44254</v>
      </c>
      <c r="I62" s="2">
        <v>42789</v>
      </c>
      <c r="L62" s="13">
        <v>44254</v>
      </c>
      <c r="M62" s="2">
        <v>6112.7142857142853</v>
      </c>
      <c r="P62" s="13">
        <v>44253</v>
      </c>
      <c r="Q62" s="14">
        <v>0.2</v>
      </c>
      <c r="R62" s="14">
        <v>8.7136929460580909E-2</v>
      </c>
      <c r="S62" s="14">
        <v>0.1165644171779141</v>
      </c>
    </row>
    <row r="63" spans="4:19" x14ac:dyDescent="0.35">
      <c r="D63" s="13">
        <v>44255</v>
      </c>
      <c r="E63" s="3">
        <v>53362.670000000006</v>
      </c>
      <c r="H63" s="13">
        <v>44255</v>
      </c>
      <c r="I63" s="2">
        <v>76164</v>
      </c>
      <c r="L63" s="13">
        <v>44255</v>
      </c>
      <c r="M63" s="2">
        <v>5858.7692307692305</v>
      </c>
      <c r="P63" s="13">
        <v>44254</v>
      </c>
      <c r="Q63" s="14">
        <v>0.18518518518518517</v>
      </c>
      <c r="R63" s="14">
        <v>4.6511627906976744E-2</v>
      </c>
      <c r="S63" s="14">
        <v>0.1</v>
      </c>
    </row>
    <row r="64" spans="4:19" x14ac:dyDescent="0.35">
      <c r="D64" s="13" t="s">
        <v>70</v>
      </c>
      <c r="E64" s="3">
        <v>30590879.82</v>
      </c>
      <c r="H64" s="13" t="s">
        <v>70</v>
      </c>
      <c r="I64" s="2">
        <v>42889366</v>
      </c>
      <c r="L64" s="13" t="s">
        <v>70</v>
      </c>
      <c r="M64" s="2">
        <v>5332.5085167226162</v>
      </c>
      <c r="P64" s="13">
        <v>44255</v>
      </c>
      <c r="Q64" s="14">
        <v>0.22580645161290322</v>
      </c>
      <c r="R64" s="14">
        <v>8.4507042253521125E-2</v>
      </c>
      <c r="S64" s="14">
        <v>0.12745098039215685</v>
      </c>
    </row>
    <row r="65" spans="4:19" x14ac:dyDescent="0.35">
      <c r="P65" s="13" t="s">
        <v>70</v>
      </c>
      <c r="Q65" s="14">
        <v>0.1792258948450077</v>
      </c>
      <c r="R65" s="14">
        <v>9.1348317267839804E-2</v>
      </c>
      <c r="S65" s="14">
        <v>0.12264596898397352</v>
      </c>
    </row>
    <row r="70" spans="4:19" x14ac:dyDescent="0.35">
      <c r="D70" s="10" t="s">
        <v>100</v>
      </c>
      <c r="H70" s="10" t="s">
        <v>99</v>
      </c>
    </row>
    <row r="72" spans="4:19" x14ac:dyDescent="0.35">
      <c r="D72" s="8" t="s">
        <v>69</v>
      </c>
      <c r="E72" t="s">
        <v>97</v>
      </c>
      <c r="H72" s="8" t="s">
        <v>69</v>
      </c>
      <c r="I72" t="s">
        <v>97</v>
      </c>
    </row>
    <row r="73" spans="4:19" x14ac:dyDescent="0.35">
      <c r="D73" s="12" t="s">
        <v>81</v>
      </c>
      <c r="E73" s="2">
        <v>71473.431818181823</v>
      </c>
      <c r="H73" s="12" t="s">
        <v>95</v>
      </c>
      <c r="I73" s="2">
        <v>141914.24090909091</v>
      </c>
    </row>
    <row r="74" spans="4:19" x14ac:dyDescent="0.35">
      <c r="D74" s="12" t="s">
        <v>82</v>
      </c>
      <c r="E74" s="2">
        <v>94992.204545454544</v>
      </c>
      <c r="H74" s="12" t="s">
        <v>96</v>
      </c>
      <c r="I74" s="2">
        <v>132593.55681818182</v>
      </c>
    </row>
    <row r="75" spans="4:19" x14ac:dyDescent="0.35">
      <c r="D75" s="12" t="s">
        <v>83</v>
      </c>
      <c r="E75" s="2">
        <v>103125.79545454546</v>
      </c>
      <c r="H75" s="12" t="s">
        <v>70</v>
      </c>
      <c r="I75" s="2">
        <v>139251.18831168831</v>
      </c>
    </row>
    <row r="76" spans="4:19" x14ac:dyDescent="0.35">
      <c r="D76" s="12" t="s">
        <v>84</v>
      </c>
      <c r="E76" s="2">
        <v>158495.34090909091</v>
      </c>
    </row>
    <row r="77" spans="4:19" x14ac:dyDescent="0.35">
      <c r="D77" s="12" t="s">
        <v>85</v>
      </c>
      <c r="E77" s="2">
        <v>135362.97727272726</v>
      </c>
    </row>
    <row r="78" spans="4:19" x14ac:dyDescent="0.35">
      <c r="D78" s="12" t="s">
        <v>86</v>
      </c>
      <c r="E78" s="2">
        <v>217594.88636363635</v>
      </c>
    </row>
    <row r="79" spans="4:19" x14ac:dyDescent="0.35">
      <c r="D79" s="12" t="s">
        <v>87</v>
      </c>
      <c r="E79" s="2">
        <v>193713.68181818182</v>
      </c>
    </row>
    <row r="80" spans="4:19" x14ac:dyDescent="0.35">
      <c r="D80" s="12" t="s">
        <v>70</v>
      </c>
      <c r="E80" s="2">
        <v>139251.18831168831</v>
      </c>
    </row>
    <row r="86" spans="4:17" x14ac:dyDescent="0.35">
      <c r="D86" s="10" t="s">
        <v>101</v>
      </c>
      <c r="H86" s="10" t="s">
        <v>112</v>
      </c>
      <c r="L86" s="10" t="s">
        <v>103</v>
      </c>
      <c r="P86" s="10" t="s">
        <v>108</v>
      </c>
    </row>
    <row r="88" spans="4:17" x14ac:dyDescent="0.35">
      <c r="D88" s="8" t="s">
        <v>69</v>
      </c>
      <c r="E88" t="s">
        <v>74</v>
      </c>
      <c r="H88" s="8" t="s">
        <v>69</v>
      </c>
      <c r="I88" t="s">
        <v>102</v>
      </c>
      <c r="L88" s="8" t="s">
        <v>69</v>
      </c>
      <c r="M88" t="s">
        <v>67</v>
      </c>
      <c r="P88" s="8" t="s">
        <v>69</v>
      </c>
      <c r="Q88" t="s">
        <v>75</v>
      </c>
    </row>
    <row r="89" spans="4:17" x14ac:dyDescent="0.35">
      <c r="D89" s="12" t="s">
        <v>46</v>
      </c>
      <c r="E89" s="17">
        <v>6152960</v>
      </c>
      <c r="H89" s="12" t="s">
        <v>46</v>
      </c>
      <c r="I89" s="9">
        <v>1566</v>
      </c>
      <c r="L89" s="12" t="s">
        <v>46</v>
      </c>
      <c r="M89" s="17">
        <v>3209.8817113665395</v>
      </c>
      <c r="P89" s="12" t="s">
        <v>46</v>
      </c>
      <c r="Q89" s="17">
        <v>5026674.7600000007</v>
      </c>
    </row>
    <row r="90" spans="4:17" x14ac:dyDescent="0.35">
      <c r="D90" s="12" t="s">
        <v>44</v>
      </c>
      <c r="E90" s="17">
        <v>300233</v>
      </c>
      <c r="H90" s="12" t="s">
        <v>44</v>
      </c>
      <c r="I90" s="9">
        <v>294</v>
      </c>
      <c r="L90" s="12" t="s">
        <v>44</v>
      </c>
      <c r="M90" s="17">
        <v>8986.1878911564618</v>
      </c>
      <c r="P90" s="12" t="s">
        <v>44</v>
      </c>
      <c r="Q90" s="17">
        <v>2641939.2399999998</v>
      </c>
    </row>
    <row r="91" spans="4:17" x14ac:dyDescent="0.35">
      <c r="D91" s="12" t="s">
        <v>43</v>
      </c>
      <c r="E91" s="17">
        <v>536919</v>
      </c>
      <c r="H91" s="12" t="s">
        <v>43</v>
      </c>
      <c r="I91" s="9">
        <v>108</v>
      </c>
      <c r="L91" s="12" t="s">
        <v>43</v>
      </c>
      <c r="M91" s="17">
        <v>2467.279814814814</v>
      </c>
      <c r="P91" s="12" t="s">
        <v>43</v>
      </c>
      <c r="Q91" s="17">
        <v>266466.21999999991</v>
      </c>
    </row>
    <row r="92" spans="4:17" x14ac:dyDescent="0.35">
      <c r="D92" s="12" t="s">
        <v>36</v>
      </c>
      <c r="E92" s="17">
        <v>2396412</v>
      </c>
      <c r="H92" s="12" t="s">
        <v>36</v>
      </c>
      <c r="I92" s="9">
        <v>474</v>
      </c>
      <c r="L92" s="12" t="s">
        <v>36</v>
      </c>
      <c r="M92" s="17">
        <v>5410.9567088607619</v>
      </c>
      <c r="P92" s="12" t="s">
        <v>36</v>
      </c>
      <c r="Q92" s="17">
        <v>2564793.4800000009</v>
      </c>
    </row>
    <row r="93" spans="4:17" x14ac:dyDescent="0.35">
      <c r="D93" s="12" t="s">
        <v>37</v>
      </c>
      <c r="E93" s="17">
        <v>3463306</v>
      </c>
      <c r="H93" s="12" t="s">
        <v>37</v>
      </c>
      <c r="I93" s="9">
        <v>688</v>
      </c>
      <c r="L93" s="12" t="s">
        <v>37</v>
      </c>
      <c r="M93" s="17">
        <v>6822.4868749999996</v>
      </c>
      <c r="P93" s="12" t="s">
        <v>37</v>
      </c>
      <c r="Q93" s="17">
        <v>4693870.97</v>
      </c>
    </row>
    <row r="94" spans="4:17" x14ac:dyDescent="0.35">
      <c r="D94" s="12" t="s">
        <v>38</v>
      </c>
      <c r="E94" s="17">
        <v>2205747</v>
      </c>
      <c r="H94" s="12" t="s">
        <v>38</v>
      </c>
      <c r="I94" s="9">
        <v>281</v>
      </c>
      <c r="L94" s="12" t="s">
        <v>38</v>
      </c>
      <c r="M94" s="17">
        <v>4270.4582206405685</v>
      </c>
      <c r="P94" s="12" t="s">
        <v>38</v>
      </c>
      <c r="Q94" s="17">
        <v>1199998.7599999998</v>
      </c>
    </row>
    <row r="95" spans="4:17" x14ac:dyDescent="0.35">
      <c r="D95" s="12" t="s">
        <v>39</v>
      </c>
      <c r="E95" s="17">
        <v>1499318</v>
      </c>
      <c r="H95" s="12" t="s">
        <v>39</v>
      </c>
      <c r="I95" s="9">
        <v>547</v>
      </c>
      <c r="L95" s="12" t="s">
        <v>39</v>
      </c>
      <c r="M95" s="17">
        <v>4132.3607129798911</v>
      </c>
      <c r="P95" s="12" t="s">
        <v>39</v>
      </c>
      <c r="Q95" s="17">
        <v>2260401.3100000005</v>
      </c>
    </row>
    <row r="96" spans="4:17" x14ac:dyDescent="0.35">
      <c r="D96" s="12" t="s">
        <v>45</v>
      </c>
      <c r="E96" s="17">
        <v>5808454</v>
      </c>
      <c r="H96" s="12" t="s">
        <v>45</v>
      </c>
      <c r="I96" s="9">
        <v>1100</v>
      </c>
      <c r="L96" s="12" t="s">
        <v>45</v>
      </c>
      <c r="M96" s="17">
        <v>3861.2432454545465</v>
      </c>
      <c r="P96" s="12" t="s">
        <v>45</v>
      </c>
      <c r="Q96" s="17">
        <v>4247367.5700000012</v>
      </c>
    </row>
    <row r="97" spans="4:17" x14ac:dyDescent="0.35">
      <c r="D97" s="12" t="s">
        <v>41</v>
      </c>
      <c r="E97" s="17">
        <v>4544124</v>
      </c>
      <c r="H97" s="12" t="s">
        <v>41</v>
      </c>
      <c r="I97" s="9">
        <v>758</v>
      </c>
      <c r="L97" s="12" t="s">
        <v>41</v>
      </c>
      <c r="M97" s="17">
        <v>3384.2707783641167</v>
      </c>
      <c r="P97" s="12" t="s">
        <v>41</v>
      </c>
      <c r="Q97" s="17">
        <v>2565277.2500000005</v>
      </c>
    </row>
    <row r="98" spans="4:17" x14ac:dyDescent="0.35">
      <c r="D98" s="12" t="s">
        <v>42</v>
      </c>
      <c r="E98" s="17">
        <v>670460</v>
      </c>
      <c r="H98" s="12" t="s">
        <v>42</v>
      </c>
      <c r="I98" s="9">
        <v>313</v>
      </c>
      <c r="L98" s="12" t="s">
        <v>42</v>
      </c>
      <c r="M98" s="17">
        <v>3406.2420127795522</v>
      </c>
      <c r="P98" s="12" t="s">
        <v>42</v>
      </c>
      <c r="Q98" s="17">
        <v>1066153.7499999998</v>
      </c>
    </row>
    <row r="99" spans="4:17" x14ac:dyDescent="0.35">
      <c r="D99" s="12" t="s">
        <v>40</v>
      </c>
      <c r="E99" s="17">
        <v>15311433</v>
      </c>
      <c r="H99" s="12" t="s">
        <v>40</v>
      </c>
      <c r="I99" s="9">
        <v>1914</v>
      </c>
      <c r="L99" s="12" t="s">
        <v>40</v>
      </c>
      <c r="M99" s="17">
        <v>2120.1340177638453</v>
      </c>
      <c r="P99" s="12" t="s">
        <v>40</v>
      </c>
      <c r="Q99" s="17">
        <v>4057936.51</v>
      </c>
    </row>
    <row r="100" spans="4:17" x14ac:dyDescent="0.35">
      <c r="D100" s="12" t="s">
        <v>70</v>
      </c>
      <c r="E100" s="17">
        <v>42889366</v>
      </c>
      <c r="H100" s="12" t="s">
        <v>70</v>
      </c>
      <c r="I100" s="9">
        <v>8043</v>
      </c>
      <c r="L100" s="12" t="s">
        <v>70</v>
      </c>
      <c r="M100" s="17">
        <v>3803.41661320403</v>
      </c>
      <c r="P100" s="12" t="s">
        <v>70</v>
      </c>
      <c r="Q100" s="17">
        <v>30590879.82</v>
      </c>
    </row>
    <row r="106" spans="4:17" x14ac:dyDescent="0.35">
      <c r="D106" s="10" t="s">
        <v>105</v>
      </c>
      <c r="H106" s="10" t="s">
        <v>106</v>
      </c>
      <c r="L106" s="10" t="s">
        <v>107</v>
      </c>
    </row>
    <row r="108" spans="4:17" x14ac:dyDescent="0.35">
      <c r="D108" s="8" t="s">
        <v>69</v>
      </c>
      <c r="E108" t="s">
        <v>74</v>
      </c>
      <c r="H108" s="8" t="s">
        <v>69</v>
      </c>
      <c r="I108" t="s">
        <v>102</v>
      </c>
      <c r="L108" s="8" t="s">
        <v>69</v>
      </c>
      <c r="M108" t="s">
        <v>67</v>
      </c>
    </row>
    <row r="109" spans="4:17" x14ac:dyDescent="0.35">
      <c r="D109" s="12" t="s">
        <v>77</v>
      </c>
      <c r="E109" s="17">
        <v>31815064</v>
      </c>
      <c r="H109" s="12" t="s">
        <v>77</v>
      </c>
      <c r="I109" s="9">
        <v>5810</v>
      </c>
      <c r="L109" s="12" t="s">
        <v>77</v>
      </c>
      <c r="M109" s="17">
        <v>3390.8406833046474</v>
      </c>
    </row>
    <row r="110" spans="4:17" x14ac:dyDescent="0.35">
      <c r="D110" s="12" t="s">
        <v>78</v>
      </c>
      <c r="E110" s="17">
        <v>6940536</v>
      </c>
      <c r="H110" s="12" t="s">
        <v>78</v>
      </c>
      <c r="I110" s="9">
        <v>1232</v>
      </c>
      <c r="L110" s="12" t="s">
        <v>78</v>
      </c>
      <c r="M110" s="17">
        <v>4164.0184496753263</v>
      </c>
    </row>
    <row r="111" spans="4:17" x14ac:dyDescent="0.35">
      <c r="D111" s="12" t="s">
        <v>79</v>
      </c>
      <c r="E111" s="17">
        <v>4133766</v>
      </c>
      <c r="H111" s="12" t="s">
        <v>79</v>
      </c>
      <c r="I111" s="9">
        <v>1001</v>
      </c>
      <c r="L111" s="12" t="s">
        <v>79</v>
      </c>
      <c r="M111" s="17">
        <v>5754.2704495504513</v>
      </c>
    </row>
    <row r="112" spans="4:17" x14ac:dyDescent="0.35">
      <c r="D112" s="12" t="s">
        <v>70</v>
      </c>
      <c r="E112" s="17">
        <v>42889366</v>
      </c>
      <c r="H112" s="12" t="s">
        <v>70</v>
      </c>
      <c r="I112" s="9">
        <v>8043</v>
      </c>
      <c r="L112" s="12" t="s">
        <v>70</v>
      </c>
      <c r="M112" s="17">
        <v>3803.4166132040268</v>
      </c>
    </row>
    <row r="118" spans="4:9" x14ac:dyDescent="0.35">
      <c r="D118" s="10" t="s">
        <v>109</v>
      </c>
      <c r="H118" s="10" t="s">
        <v>110</v>
      </c>
    </row>
    <row r="120" spans="4:9" x14ac:dyDescent="0.35">
      <c r="D120" s="8" t="s">
        <v>69</v>
      </c>
      <c r="E120" s="3" t="s">
        <v>74</v>
      </c>
      <c r="H120" s="8" t="s">
        <v>69</v>
      </c>
      <c r="I120" s="3" t="s">
        <v>67</v>
      </c>
    </row>
    <row r="121" spans="4:9" x14ac:dyDescent="0.35">
      <c r="D121" s="12" t="s">
        <v>48</v>
      </c>
      <c r="E121" s="2">
        <v>21119887</v>
      </c>
      <c r="H121" s="12" t="s">
        <v>48</v>
      </c>
      <c r="I121" s="2">
        <v>2755.5753417385536</v>
      </c>
    </row>
    <row r="122" spans="4:9" x14ac:dyDescent="0.35">
      <c r="D122" s="12" t="s">
        <v>62</v>
      </c>
      <c r="E122" s="2">
        <v>6152960</v>
      </c>
      <c r="H122" s="12" t="s">
        <v>62</v>
      </c>
      <c r="I122" s="2">
        <v>3209.8817113665395</v>
      </c>
    </row>
    <row r="123" spans="4:9" x14ac:dyDescent="0.35">
      <c r="D123" s="12" t="s">
        <v>47</v>
      </c>
      <c r="E123" s="2">
        <v>3705065</v>
      </c>
      <c r="H123" s="12" t="s">
        <v>47</v>
      </c>
      <c r="I123" s="2">
        <v>4179.2271376811605</v>
      </c>
    </row>
    <row r="124" spans="4:9" x14ac:dyDescent="0.35">
      <c r="D124" s="12" t="s">
        <v>61</v>
      </c>
      <c r="E124" s="2">
        <v>11911454</v>
      </c>
      <c r="H124" s="12" t="s">
        <v>61</v>
      </c>
      <c r="I124" s="2">
        <v>5236.6227362428817</v>
      </c>
    </row>
    <row r="125" spans="4:9" x14ac:dyDescent="0.35">
      <c r="D125" s="12" t="s">
        <v>70</v>
      </c>
      <c r="E125" s="2">
        <v>42889366</v>
      </c>
      <c r="H125" s="12" t="s">
        <v>70</v>
      </c>
      <c r="I125" s="2">
        <v>3803.4166132040264</v>
      </c>
    </row>
  </sheetData>
  <pageMargins left="0.7" right="0.7" top="0.75" bottom="0.75" header="0.3" footer="0.3"/>
  <drawing r:id="rId25"/>
  <extLst>
    <ext xmlns:x14="http://schemas.microsoft.com/office/spreadsheetml/2009/9/main" uri="{A8765BA9-456A-4dab-B4F3-ACF838C121DE}">
      <x14:slicerList>
        <x14:slicer r:id="rId26"/>
      </x14:slicerList>
    </ext>
    <ext xmlns:x15="http://schemas.microsoft.com/office/spreadsheetml/2010/11/main" uri="{7E03D99C-DC04-49d9-9315-930204A7B6E9}">
      <x15:timelineRefs>
        <x15:timelineRef r:id="rId2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7B6B-8780-4280-A904-323B018DEE46}">
  <dimension ref="A1"/>
  <sheetViews>
    <sheetView showGridLines="0" topLeftCell="B7" zoomScale="54" workbookViewId="0">
      <selection activeCell="AJ35" sqref="AJ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Working Data</vt:lpstr>
      <vt:lpstr>PivotTables and PivotCharts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Benedicta Izegbue</cp:lastModifiedBy>
  <dcterms:created xsi:type="dcterms:W3CDTF">2025-12-21T01:46:20Z</dcterms:created>
  <dcterms:modified xsi:type="dcterms:W3CDTF">2026-08-08T16:12:03Z</dcterms:modified>
</cp:coreProperties>
</file>